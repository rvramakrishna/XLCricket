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Excel\Projects\"/>
    </mc:Choice>
  </mc:AlternateContent>
  <xr:revisionPtr revIDLastSave="0" documentId="13_ncr:1_{305D908D-D6BB-4F35-828B-8A8415341C98}" xr6:coauthVersionLast="47" xr6:coauthVersionMax="47" xr10:uidLastSave="{00000000-0000-0000-0000-000000000000}"/>
  <workbookProtection workbookAlgorithmName="SHA-512" workbookHashValue="GE1M0xJdZJ5Nbs+jg3k2wHseAwmXueZIDUrrCWgelPpXRmPmH7T0oG4yZXpgaT9kU4+FdENwA3T9xJZJPge5LA==" workbookSaltValue="CxeXma5gtIrHLtfuXp8xQw==" workbookSpinCount="100000" lockStructure="1"/>
  <bookViews>
    <workbookView xWindow="-108" yWindow="-108" windowWidth="23256" windowHeight="12576" xr2:uid="{3DA4471A-09E2-4609-B85D-3368A3469B06}"/>
  </bookViews>
  <sheets>
    <sheet name="Staduim" sheetId="1" r:id="rId1"/>
    <sheet name="Sheet2" sheetId="2" state="veryHidden" r:id="rId2"/>
  </sheets>
  <definedNames>
    <definedName name="_xlnm._FilterDatabase" localSheetId="1" hidden="1">Sheet2!$B$2:$G$2</definedName>
    <definedName name="_xlnm._FilterDatabase" localSheetId="0" hidden="1">Staduim!$G$7:$M$607</definedName>
    <definedName name="Diff" localSheetId="0">Staduim!$J$8:$J$67</definedName>
    <definedName name="Negetive">Sheet2!$B$3:$B$11</definedName>
    <definedName name="Out">Sheet2!$B$26:$B$29</definedName>
    <definedName name="Positive">Sheet2!$B$14:$B$23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5" i="1" l="1"/>
  <c r="U5" i="1"/>
  <c r="V5" i="1" l="1"/>
  <c r="X4" i="1" s="1"/>
  <c r="J13" i="1"/>
  <c r="J12" i="1"/>
  <c r="J11" i="1"/>
  <c r="J10" i="1"/>
  <c r="J9" i="1"/>
  <c r="J8" i="1"/>
  <c r="J22" i="1"/>
  <c r="J21" i="1"/>
  <c r="J20" i="1"/>
  <c r="J19" i="1"/>
  <c r="J17" i="1"/>
  <c r="J16" i="1"/>
  <c r="J14" i="1"/>
  <c r="J15" i="1"/>
  <c r="J18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Y4" i="1" l="1"/>
  <c r="S7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O4" i="1" l="1"/>
  <c r="Y5" i="1"/>
  <c r="O5" i="1" s="1"/>
  <c r="K15" i="1"/>
  <c r="K28" i="1"/>
  <c r="K9" i="1"/>
  <c r="Q5" i="1"/>
  <c r="K10" i="1"/>
  <c r="G8" i="1"/>
  <c r="K11" i="1"/>
  <c r="K16" i="1"/>
  <c r="K19" i="1"/>
  <c r="K20" i="1"/>
  <c r="K22" i="1"/>
  <c r="K23" i="1"/>
  <c r="K24" i="1"/>
  <c r="K27" i="1"/>
  <c r="K31" i="1"/>
  <c r="K32" i="1"/>
  <c r="K34" i="1"/>
  <c r="K35" i="1"/>
  <c r="K12" i="1"/>
  <c r="K21" i="1"/>
  <c r="K25" i="1"/>
  <c r="K29" i="1"/>
  <c r="K33" i="1"/>
  <c r="K13" i="1"/>
  <c r="K30" i="1"/>
  <c r="K18" i="1"/>
  <c r="K17" i="1"/>
  <c r="K14" i="1"/>
  <c r="G9" i="1" l="1"/>
  <c r="G10" i="1" s="1"/>
  <c r="G11" i="1" s="1"/>
  <c r="K26" i="1"/>
  <c r="G12" i="1"/>
  <c r="G13" i="1" s="1"/>
  <c r="G14" i="1" s="1"/>
  <c r="K8" i="1" l="1"/>
  <c r="H4" i="1"/>
  <c r="O6" i="1" s="1"/>
  <c r="G15" i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H2" i="1" l="1"/>
  <c r="G26" i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</calcChain>
</file>

<file path=xl/sharedStrings.xml><?xml version="1.0" encoding="utf-8"?>
<sst xmlns="http://schemas.openxmlformats.org/spreadsheetml/2006/main" count="34" uniqueCount="25">
  <si>
    <t>OVERS</t>
  </si>
  <si>
    <t>BATSMAN</t>
  </si>
  <si>
    <t>BOWLER</t>
  </si>
  <si>
    <t>Score:</t>
  </si>
  <si>
    <t>Commentry</t>
  </si>
  <si>
    <t>-Ve</t>
  </si>
  <si>
    <t>An another act of defense by batsman.</t>
  </si>
  <si>
    <t>They managed to score a couple of runs.</t>
  </si>
  <si>
    <t>Well bowled.</t>
  </si>
  <si>
    <t>A great ball by the bowler.</t>
  </si>
  <si>
    <t>Just miss.</t>
  </si>
  <si>
    <t>+VE</t>
  </si>
  <si>
    <t>A great hit.</t>
  </si>
  <si>
    <t>Into the stands.</t>
  </si>
  <si>
    <t>Out of the stadium.</t>
  </si>
  <si>
    <t>Crossed the boundary.</t>
  </si>
  <si>
    <t>Another one from the batsman.</t>
  </si>
  <si>
    <t>Caught!</t>
  </si>
  <si>
    <t>Bowled.</t>
  </si>
  <si>
    <t>Catch!</t>
  </si>
  <si>
    <t>Dismissed.</t>
  </si>
  <si>
    <t>Player 1:</t>
  </si>
  <si>
    <t>Player 2:</t>
  </si>
  <si>
    <t>Heads</t>
  </si>
  <si>
    <t>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</si>
</sst>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9" tint="-0.249977111117893"/>
        <bgColor theme="9" tint="-0.249977111117893"/>
      </patternFill>
    </fill>
    <fill>
      <patternFill patternType="solid">
        <fgColor theme="9"/>
        <bgColor theme="9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0" fontId="1" fillId="0" borderId="0" xfId="0" applyFont="1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0" fontId="3" fillId="2" borderId="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1" fillId="0" borderId="0" xfId="0" applyFont="1" applyAlignment="1" applyProtection="1">
      <alignment vertical="top" wrapText="1"/>
      <protection hidden="1"/>
    </xf>
    <xf numFmtId="0" fontId="1" fillId="0" borderId="0" xfId="0" applyFont="1" applyAlignment="1">
      <alignment vertical="top" wrapText="1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13" xfId="0" applyFont="1" applyBorder="1"/>
    <xf numFmtId="0" fontId="1" fillId="0" borderId="15" xfId="0" applyFont="1" applyBorder="1"/>
    <xf numFmtId="0" fontId="1" fillId="0" borderId="14" xfId="0" applyFont="1" applyBorder="1" applyAlignment="1" applyProtection="1">
      <alignment horizontal="center" vertical="center"/>
      <protection locked="0"/>
    </xf>
    <xf numFmtId="0" fontId="1" fillId="0" borderId="16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 hidden="1"/>
    </xf>
    <xf numFmtId="0" fontId="5" fillId="0" borderId="0" xfId="0" applyFont="1"/>
    <xf numFmtId="0" fontId="1" fillId="0" borderId="0" xfId="0" applyFont="1" applyProtection="1">
      <protection locked="0" hidden="1"/>
    </xf>
    <xf numFmtId="0" fontId="4" fillId="3" borderId="10" xfId="0" applyFont="1" applyFill="1" applyBorder="1" applyAlignment="1" applyProtection="1">
      <alignment horizontal="center" vertical="center" wrapText="1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 applyProtection="1">
      <alignment horizontal="center" vertical="center" wrapText="1"/>
      <protection locked="0"/>
    </xf>
    <xf numFmtId="0" fontId="4" fillId="4" borderId="10" xfId="0" applyFont="1" applyFill="1" applyBorder="1" applyAlignment="1">
      <alignment horizontal="center" vertical="center" wrapText="1"/>
    </xf>
    <xf numFmtId="0" fontId="4" fillId="4" borderId="10" xfId="0" applyFont="1" applyFill="1" applyBorder="1" applyAlignment="1" applyProtection="1">
      <alignment horizontal="center" vertical="center" wrapText="1"/>
      <protection locked="0"/>
    </xf>
    <xf numFmtId="0" fontId="4" fillId="4" borderId="9" xfId="0" applyFont="1" applyFill="1" applyBorder="1" applyAlignment="1" applyProtection="1">
      <alignment horizontal="center" vertical="center"/>
      <protection locked="0"/>
    </xf>
    <xf numFmtId="0" fontId="4" fillId="4" borderId="10" xfId="0" applyFont="1" applyFill="1" applyBorder="1" applyAlignment="1">
      <alignment horizontal="center" vertical="center"/>
    </xf>
    <xf numFmtId="0" fontId="4" fillId="4" borderId="10" xfId="0" applyFont="1" applyFill="1" applyBorder="1" applyAlignment="1" applyProtection="1">
      <alignment horizontal="center" vertical="center"/>
      <protection locked="0"/>
    </xf>
    <xf numFmtId="0" fontId="4" fillId="4" borderId="8" xfId="0" applyFont="1" applyFill="1" applyBorder="1" applyAlignment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top" wrapText="1"/>
      <protection locked="0" hidden="1"/>
    </xf>
    <xf numFmtId="0" fontId="1" fillId="0" borderId="0" xfId="0" applyFont="1" applyAlignment="1" applyProtection="1">
      <alignment horizontal="center"/>
      <protection hidden="1"/>
    </xf>
    <xf numFmtId="0" fontId="1" fillId="0" borderId="0" xfId="0" quotePrefix="1" applyFont="1" applyAlignment="1" applyProtection="1">
      <alignment horizontal="center" vertical="top" wrapText="1"/>
      <protection hidden="1"/>
    </xf>
    <xf numFmtId="0" fontId="1" fillId="0" borderId="0" xfId="0" applyFont="1" applyAlignment="1" applyProtection="1">
      <alignment horizontal="center" vertical="top" wrapText="1"/>
      <protection hidden="1"/>
    </xf>
    <xf numFmtId="0" fontId="1" fillId="0" borderId="0" xfId="0" applyFont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4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297180</xdr:colOff>
      <xdr:row>3</xdr:row>
      <xdr:rowOff>30480</xdr:rowOff>
    </xdr:from>
    <xdr:to>
      <xdr:col>4</xdr:col>
      <xdr:colOff>190500</xdr:colOff>
      <xdr:row>6</xdr:row>
      <xdr:rowOff>91440</xdr:rowOff>
    </xdr:to>
    <xdr:sp macro="" textlink="">
      <xdr:nvSpPr>
        <xdr:cNvPr id="4" name="Game_start_help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06780" y="601980"/>
          <a:ext cx="1905000" cy="617220"/>
        </a:xfrm>
        <a:prstGeom prst="wedgeEllipseCallout">
          <a:avLst>
            <a:gd name="adj1" fmla="val 18822"/>
            <a:gd name="adj2" fmla="val -9172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u="sng"/>
            <a:t>Enter No. of players and press enter</a:t>
          </a:r>
          <a:r>
            <a:rPr lang="en-IN" sz="1100"/>
            <a:t>:)</a:t>
          </a:r>
        </a:p>
      </xdr:txBody>
    </xdr:sp>
    <xdr:clientData/>
  </xdr:twoCellAnchor>
  <xdr:twoCellAnchor editAs="oneCell">
    <xdr:from>
      <xdr:col>10</xdr:col>
      <xdr:colOff>274321</xdr:colOff>
      <xdr:row>2</xdr:row>
      <xdr:rowOff>167640</xdr:rowOff>
    </xdr:from>
    <xdr:to>
      <xdr:col>11</xdr:col>
      <xdr:colOff>91559</xdr:colOff>
      <xdr:row>5</xdr:row>
      <xdr:rowOff>171450</xdr:rowOff>
    </xdr:to>
    <xdr:pic macro="[0]!Bowl"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8841" y="541020"/>
          <a:ext cx="575428" cy="558165"/>
        </a:xfrm>
        <a:prstGeom prst="rect">
          <a:avLst/>
        </a:prstGeom>
      </xdr:spPr>
    </xdr:pic>
    <xdr:clientData/>
  </xdr:twoCellAnchor>
  <xdr:twoCellAnchor editAs="oneCell">
    <xdr:from>
      <xdr:col>11</xdr:col>
      <xdr:colOff>352584</xdr:colOff>
      <xdr:row>2</xdr:row>
      <xdr:rowOff>76200</xdr:rowOff>
    </xdr:from>
    <xdr:to>
      <xdr:col>14</xdr:col>
      <xdr:colOff>209549</xdr:colOff>
      <xdr:row>6</xdr:row>
      <xdr:rowOff>55245</xdr:rowOff>
    </xdr:to>
    <xdr:pic macro="[0]!Bat"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7259082" y="-18018"/>
          <a:ext cx="746760" cy="1681955"/>
        </a:xfrm>
        <a:prstGeom prst="rect">
          <a:avLst/>
        </a:prstGeom>
      </xdr:spPr>
    </xdr:pic>
    <xdr:clientData/>
  </xdr:twoCellAnchor>
  <xdr:twoCellAnchor editAs="oneCell">
    <xdr:from>
      <xdr:col>0</xdr:col>
      <xdr:colOff>182880</xdr:colOff>
      <xdr:row>1</xdr:row>
      <xdr:rowOff>45720</xdr:rowOff>
    </xdr:from>
    <xdr:to>
      <xdr:col>2</xdr:col>
      <xdr:colOff>15285</xdr:colOff>
      <xdr:row>6</xdr:row>
      <xdr:rowOff>78105</xdr:rowOff>
    </xdr:to>
    <xdr:pic macro="[0]!_xludf.Clear">
      <xdr:nvPicPr>
        <xdr:cNvPr id="7" name="Picture 6">
          <a:extLst>
            <a:ext uri="{FF2B5EF4-FFF2-40B4-BE49-F238E27FC236}">
              <a16:creationId xmlns:a16="http://schemas.microsoft.com/office/drawing/2014/main" id="{37BABB54-56F0-40B9-98DC-69275B643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228600"/>
          <a:ext cx="1146855" cy="977265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0</xdr:row>
      <xdr:rowOff>167641</xdr:rowOff>
    </xdr:from>
    <xdr:to>
      <xdr:col>4</xdr:col>
      <xdr:colOff>249520</xdr:colOff>
      <xdr:row>7</xdr:row>
      <xdr:rowOff>76200</xdr:rowOff>
    </xdr:to>
    <xdr:pic macro="[0]!New_innings">
      <xdr:nvPicPr>
        <xdr:cNvPr id="10" name="Picture 9">
          <a:extLst>
            <a:ext uri="{FF2B5EF4-FFF2-40B4-BE49-F238E27FC236}">
              <a16:creationId xmlns:a16="http://schemas.microsoft.com/office/drawing/2014/main" id="{1BA81416-C984-4BC8-AE29-54F610C41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820" y="167641"/>
          <a:ext cx="1259170" cy="1226819"/>
        </a:xfrm>
        <a:prstGeom prst="rect">
          <a:avLst/>
        </a:prstGeom>
      </xdr:spPr>
    </xdr:pic>
    <xdr:clientData/>
  </xdr:twoCellAnchor>
  <xdr:twoCellAnchor editAs="oneCell">
    <xdr:from>
      <xdr:col>18</xdr:col>
      <xdr:colOff>152401</xdr:colOff>
      <xdr:row>7</xdr:row>
      <xdr:rowOff>114300</xdr:rowOff>
    </xdr:from>
    <xdr:to>
      <xdr:col>19</xdr:col>
      <xdr:colOff>452915</xdr:colOff>
      <xdr:row>12</xdr:row>
      <xdr:rowOff>106680</xdr:rowOff>
    </xdr:to>
    <xdr:pic macro="[0]!toss">
      <xdr:nvPicPr>
        <xdr:cNvPr id="12" name="Tails">
          <a:extLst>
            <a:ext uri="{FF2B5EF4-FFF2-40B4-BE49-F238E27FC236}">
              <a16:creationId xmlns:a16="http://schemas.microsoft.com/office/drawing/2014/main" id="{A1A9976F-613E-4762-BEC0-642DCCD68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101" y="1432560"/>
          <a:ext cx="910114" cy="9067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44AB-3DE0-4609-8B5E-16EDDCC839F4}">
  <sheetPr codeName="Sheet1"/>
  <dimension ref="B1:Z613"/>
  <sheetViews>
    <sheetView showGridLines="0" showRowColHeaders="0" tabSelected="1" workbookViewId="0">
      <pane ySplit="7" topLeftCell="A8" activePane="bottomLeft" state="frozen"/>
      <selection pane="bottomLeft" activeCell="T4" sqref="T4"/>
    </sheetView>
  </sheetViews>
  <sheetFormatPr defaultRowHeight="14.4" x14ac:dyDescent="0.3"/>
  <cols>
    <col min="2" max="3" width="10.21875" customWidth="1"/>
    <col min="5" max="6" width="8.88671875" customWidth="1"/>
    <col min="7" max="7" width="8.5546875" style="1" customWidth="1"/>
    <col min="8" max="8" width="10.109375" customWidth="1"/>
    <col min="9" max="9" width="11.5546875" customWidth="1"/>
    <col min="10" max="10" width="3" hidden="1" customWidth="1"/>
    <col min="11" max="11" width="11" bestFit="1" customWidth="1"/>
    <col min="22" max="25" width="8.88671875" hidden="1" customWidth="1"/>
  </cols>
  <sheetData>
    <row r="1" spans="2:26" x14ac:dyDescent="0.3">
      <c r="G1"/>
    </row>
    <row r="2" spans="2:26" ht="15" customHeight="1" x14ac:dyDescent="0.3">
      <c r="B2" s="4"/>
      <c r="C2" s="4"/>
      <c r="D2" s="2"/>
      <c r="G2" s="11"/>
      <c r="H2" s="36" t="str">
        <f>IF(Q4=0,IF(COUNTIF(Diff,0)=1,"Innings completed",""),IF(OR(COUNTIF(Diff,0)=1,(Q5-H4)&lt;1),"Match completed",""))</f>
        <v/>
      </c>
      <c r="I2" s="37"/>
      <c r="J2" s="10"/>
      <c r="K2" s="10"/>
      <c r="L2" s="5"/>
    </row>
    <row r="3" spans="2:26" ht="15" thickBot="1" x14ac:dyDescent="0.35">
      <c r="F3" s="5"/>
      <c r="G3" s="5"/>
      <c r="H3" s="6"/>
      <c r="I3" s="6"/>
      <c r="J3" s="5"/>
      <c r="K3" s="5"/>
      <c r="L3" s="5"/>
    </row>
    <row r="4" spans="2:26" ht="14.4" customHeight="1" x14ac:dyDescent="0.3">
      <c r="F4" s="39" t="s">
        <v>3</v>
      </c>
      <c r="G4" s="40"/>
      <c r="H4" s="43">
        <f>SUM(I8:I67)-_xlfn.IFNA(INDEX(I8:I67,MATCH(0,Diff,0)),0)</f>
        <v>0</v>
      </c>
      <c r="I4" s="44"/>
      <c r="K4" s="5"/>
      <c r="L4" s="5"/>
      <c r="O4" s="38" t="str">
        <f>IF(Q4="","",CONCATENATE(IF(Y4="","Player 1",Y4),"'s score"))</f>
        <v/>
      </c>
      <c r="P4" s="38"/>
      <c r="Q4" s="12"/>
      <c r="S4" s="14" t="s">
        <v>21</v>
      </c>
      <c r="T4" s="16"/>
      <c r="U4" s="18"/>
      <c r="V4" s="18"/>
      <c r="W4" t="s">
        <v>23</v>
      </c>
      <c r="X4" s="18" t="str">
        <f>IF(V4="","",IF(U4=V5,1,2))</f>
        <v/>
      </c>
      <c r="Y4" s="18" t="str">
        <f>IF(T4="","",IF(X4=X5,T4,T5))</f>
        <v/>
      </c>
    </row>
    <row r="5" spans="2:26" ht="15" customHeight="1" thickBot="1" x14ac:dyDescent="0.35">
      <c r="F5" s="41"/>
      <c r="G5" s="42"/>
      <c r="H5" s="45"/>
      <c r="I5" s="46"/>
      <c r="K5" s="5"/>
      <c r="L5" s="5"/>
      <c r="O5" s="38" t="str">
        <f>IF(Q4="","",CONCATENATE(IF(Y5="","Player 2",Y5),"'s ","Target:"))</f>
        <v/>
      </c>
      <c r="P5" s="38"/>
      <c r="Q5" s="13" t="str">
        <f>IF(Q4="","",Q4+1)</f>
        <v/>
      </c>
      <c r="S5" s="15" t="s">
        <v>22</v>
      </c>
      <c r="T5" s="17"/>
      <c r="U5" s="18" t="str">
        <f>IF(U4="","",IF(U4="Heads","Tails","Heads"))</f>
        <v/>
      </c>
      <c r="V5" s="18" t="str">
        <f>IF(V4="","",INDEX(W4:W5,V4,))</f>
        <v/>
      </c>
      <c r="W5" t="s">
        <v>24</v>
      </c>
      <c r="X5" s="18" t="str">
        <f>IF(Z7="","",IF(Z7="Bat",1,2))</f>
        <v/>
      </c>
      <c r="Y5" s="18" t="str">
        <f>IF(T5="","",IF(Y4=T4,T5,T4))</f>
        <v/>
      </c>
    </row>
    <row r="6" spans="2:26" ht="15" thickBot="1" x14ac:dyDescent="0.35">
      <c r="F6" s="5"/>
      <c r="G6" s="5"/>
      <c r="H6" s="6"/>
      <c r="I6" s="6"/>
      <c r="J6" s="5"/>
      <c r="K6" s="5"/>
      <c r="L6" s="5"/>
      <c r="O6" s="35" t="str">
        <f>IF(Q4="","",IF(COUNTIF(Diff,0)=1,CONCATENATE(IF(T4="","Player 1",Y4)," won the match."),IF((Q5-H4)&lt;1,CONCATENATE(IF(T5="","Player 2",Y5)," won the match."),CONCATENATE(IF(T5="","Player 2",Y5)," ","need ",(Q5-H4),IF((Q4-H4)=0," run to win."," runs to win.")))))</f>
        <v/>
      </c>
      <c r="P6" s="35"/>
      <c r="Q6" s="35"/>
    </row>
    <row r="7" spans="2:26" ht="15" thickBot="1" x14ac:dyDescent="0.35">
      <c r="G7" s="7" t="s">
        <v>0</v>
      </c>
      <c r="H7" s="8" t="s">
        <v>2</v>
      </c>
      <c r="I7" s="9" t="s">
        <v>1</v>
      </c>
      <c r="K7" s="2" t="s">
        <v>4</v>
      </c>
      <c r="S7" s="34" t="str">
        <f>IF(V4="","",CONCATENATE("It’s ",V5," and ",IF(U4=V5,IF(T4="","Player 1",T4),IF(T5="","Player 2",T5))," won the toss."))</f>
        <v/>
      </c>
      <c r="T7" s="34"/>
      <c r="U7" s="34"/>
      <c r="V7" s="20"/>
      <c r="W7" s="20"/>
      <c r="X7" s="20"/>
      <c r="Z7" s="18"/>
    </row>
    <row r="8" spans="2:26" x14ac:dyDescent="0.3">
      <c r="G8" s="24" t="str">
        <f>IF(H8&gt;0,0.1,"")</f>
        <v/>
      </c>
      <c r="H8" s="25"/>
      <c r="I8" s="25"/>
      <c r="J8" t="str">
        <f t="shared" ref="J8:J39" si="0">IF(H8&lt;1,"",I8-H8)</f>
        <v/>
      </c>
      <c r="K8" t="str">
        <f t="shared" ref="K8:K39" ca="1" si="1">IF(I8="","",IF(J8=0,INDEX(Out,RANDBETWEEN(1,4),),IF(J8&gt;0,INDEX(Positive,ABS(J8),),INDEX(Negetive,ABS(J8),))))</f>
        <v/>
      </c>
    </row>
    <row r="9" spans="2:26" x14ac:dyDescent="0.3">
      <c r="G9" s="26" t="str">
        <f t="shared" ref="G9:G15" si="2">IF(H9&gt;0,ROUNDUP(IF((--(RIGHT(G8,1)))=6,G8+0.5,G8+0.1),1),"")</f>
        <v/>
      </c>
      <c r="H9" s="27"/>
      <c r="I9" s="28"/>
      <c r="J9" t="str">
        <f t="shared" si="0"/>
        <v/>
      </c>
      <c r="K9" t="str">
        <f t="shared" ca="1" si="1"/>
        <v/>
      </c>
      <c r="L9" s="1"/>
      <c r="M9" s="1"/>
      <c r="N9" s="1"/>
    </row>
    <row r="10" spans="2:26" x14ac:dyDescent="0.3">
      <c r="G10" s="23" t="str">
        <f t="shared" si="2"/>
        <v/>
      </c>
      <c r="H10" s="21"/>
      <c r="I10" s="22"/>
      <c r="J10" t="str">
        <f t="shared" si="0"/>
        <v/>
      </c>
      <c r="K10" t="str">
        <f t="shared" ca="1" si="1"/>
        <v/>
      </c>
      <c r="L10" s="1"/>
      <c r="M10" s="1"/>
    </row>
    <row r="11" spans="2:26" x14ac:dyDescent="0.3">
      <c r="G11" s="26" t="str">
        <f t="shared" si="2"/>
        <v/>
      </c>
      <c r="H11" s="27"/>
      <c r="I11" s="28"/>
      <c r="J11" t="str">
        <f>IF(H11&lt;1,"",I11-H11)</f>
        <v/>
      </c>
      <c r="K11" t="str">
        <f t="shared" ca="1" si="1"/>
        <v/>
      </c>
      <c r="L11" s="1"/>
      <c r="M11" s="1"/>
    </row>
    <row r="12" spans="2:26" x14ac:dyDescent="0.3">
      <c r="G12" s="23" t="str">
        <f t="shared" si="2"/>
        <v/>
      </c>
      <c r="H12" s="21"/>
      <c r="I12" s="22"/>
      <c r="J12" t="str">
        <f>IF(H12&lt;1,"",I12-H12)</f>
        <v/>
      </c>
      <c r="K12" t="str">
        <f t="shared" ca="1" si="1"/>
        <v/>
      </c>
      <c r="L12" s="1"/>
      <c r="M12" s="1"/>
    </row>
    <row r="13" spans="2:26" x14ac:dyDescent="0.3">
      <c r="G13" s="26" t="str">
        <f t="shared" si="2"/>
        <v/>
      </c>
      <c r="H13" s="27"/>
      <c r="I13" s="28"/>
      <c r="J13" t="str">
        <f t="shared" si="0"/>
        <v/>
      </c>
      <c r="K13" t="str">
        <f t="shared" ca="1" si="1"/>
        <v/>
      </c>
      <c r="L13" s="1"/>
      <c r="M13" s="1"/>
    </row>
    <row r="14" spans="2:26" ht="14.4" customHeight="1" x14ac:dyDescent="0.65">
      <c r="G14" s="23" t="str">
        <f t="shared" si="2"/>
        <v/>
      </c>
      <c r="H14" s="21"/>
      <c r="I14" s="22"/>
      <c r="J14" t="str">
        <f t="shared" si="0"/>
        <v/>
      </c>
      <c r="K14" t="str">
        <f t="shared" ca="1" si="1"/>
        <v/>
      </c>
      <c r="L14" s="1"/>
      <c r="M14" s="1"/>
      <c r="S14" s="19"/>
      <c r="T14" s="19"/>
    </row>
    <row r="15" spans="2:26" ht="14.4" customHeight="1" x14ac:dyDescent="0.65">
      <c r="G15" s="26" t="str">
        <f t="shared" si="2"/>
        <v/>
      </c>
      <c r="H15" s="27"/>
      <c r="I15" s="28"/>
      <c r="J15" t="str">
        <f t="shared" si="0"/>
        <v/>
      </c>
      <c r="K15" t="str">
        <f t="shared" ca="1" si="1"/>
        <v/>
      </c>
      <c r="L15" s="1"/>
      <c r="M15" s="1"/>
      <c r="S15" s="19"/>
      <c r="T15" s="19"/>
    </row>
    <row r="16" spans="2:26" x14ac:dyDescent="0.3">
      <c r="G16" s="23" t="str">
        <f t="shared" ref="G16:G33" si="3">IF(H16&gt;0,ROUNDUP(IF((--(RIGHT(G15,1)))=6,G15+0.5,G15+0.1),1),"")</f>
        <v/>
      </c>
      <c r="H16" s="21"/>
      <c r="I16" s="22"/>
      <c r="J16" t="str">
        <f t="shared" si="0"/>
        <v/>
      </c>
      <c r="K16" t="str">
        <f t="shared" ca="1" si="1"/>
        <v/>
      </c>
      <c r="L16" s="1"/>
      <c r="M16" s="1"/>
    </row>
    <row r="17" spans="4:13" x14ac:dyDescent="0.3">
      <c r="G17" s="26" t="str">
        <f t="shared" si="3"/>
        <v/>
      </c>
      <c r="H17" s="27"/>
      <c r="I17" s="28"/>
      <c r="J17" t="str">
        <f t="shared" si="0"/>
        <v/>
      </c>
      <c r="K17" t="str">
        <f t="shared" ca="1" si="1"/>
        <v/>
      </c>
      <c r="L17" s="1"/>
      <c r="M17" s="1"/>
    </row>
    <row r="18" spans="4:13" x14ac:dyDescent="0.3">
      <c r="G18" s="23" t="str">
        <f>IF(H18&gt;0,ROUNDUP(IF((--(RIGHT(G17,1)))=6,G17+0.5,G17+0.1),1),"")</f>
        <v/>
      </c>
      <c r="H18" s="21"/>
      <c r="I18" s="22"/>
      <c r="J18" t="str">
        <f t="shared" si="0"/>
        <v/>
      </c>
      <c r="K18" t="str">
        <f t="shared" ca="1" si="1"/>
        <v/>
      </c>
      <c r="L18" s="1"/>
      <c r="M18" s="1"/>
    </row>
    <row r="19" spans="4:13" x14ac:dyDescent="0.3">
      <c r="G19" s="26" t="str">
        <f t="shared" si="3"/>
        <v/>
      </c>
      <c r="H19" s="27"/>
      <c r="I19" s="28"/>
      <c r="J19" t="str">
        <f t="shared" si="0"/>
        <v/>
      </c>
      <c r="K19" t="str">
        <f t="shared" ca="1" si="1"/>
        <v/>
      </c>
      <c r="L19" s="1"/>
      <c r="M19" s="1"/>
    </row>
    <row r="20" spans="4:13" x14ac:dyDescent="0.3">
      <c r="G20" s="23" t="str">
        <f t="shared" si="3"/>
        <v/>
      </c>
      <c r="H20" s="21"/>
      <c r="I20" s="22"/>
      <c r="J20" t="str">
        <f t="shared" si="0"/>
        <v/>
      </c>
      <c r="K20" t="str">
        <f t="shared" ca="1" si="1"/>
        <v/>
      </c>
      <c r="L20" s="1"/>
      <c r="M20" s="1"/>
    </row>
    <row r="21" spans="4:13" x14ac:dyDescent="0.3">
      <c r="G21" s="26" t="str">
        <f t="shared" si="3"/>
        <v/>
      </c>
      <c r="H21" s="27"/>
      <c r="I21" s="28"/>
      <c r="J21" t="str">
        <f t="shared" si="0"/>
        <v/>
      </c>
      <c r="K21" t="str">
        <f t="shared" ca="1" si="1"/>
        <v/>
      </c>
      <c r="L21" s="1"/>
      <c r="M21" s="1"/>
    </row>
    <row r="22" spans="4:13" x14ac:dyDescent="0.3">
      <c r="G22" s="23" t="str">
        <f t="shared" si="3"/>
        <v/>
      </c>
      <c r="H22" s="21"/>
      <c r="I22" s="22"/>
      <c r="J22" t="str">
        <f t="shared" si="0"/>
        <v/>
      </c>
      <c r="K22" t="str">
        <f t="shared" ca="1" si="1"/>
        <v/>
      </c>
      <c r="L22" s="1"/>
      <c r="M22" s="1"/>
    </row>
    <row r="23" spans="4:13" x14ac:dyDescent="0.3">
      <c r="G23" s="26" t="str">
        <f t="shared" si="3"/>
        <v/>
      </c>
      <c r="H23" s="27"/>
      <c r="I23" s="28"/>
      <c r="J23" t="str">
        <f t="shared" si="0"/>
        <v/>
      </c>
      <c r="K23" t="str">
        <f t="shared" ca="1" si="1"/>
        <v/>
      </c>
      <c r="L23" s="1"/>
      <c r="M23" s="1"/>
    </row>
    <row r="24" spans="4:13" x14ac:dyDescent="0.3">
      <c r="G24" s="23" t="str">
        <f t="shared" si="3"/>
        <v/>
      </c>
      <c r="H24" s="21"/>
      <c r="I24" s="22"/>
      <c r="J24" t="str">
        <f t="shared" si="0"/>
        <v/>
      </c>
      <c r="K24" t="str">
        <f t="shared" ca="1" si="1"/>
        <v/>
      </c>
      <c r="L24" s="1"/>
      <c r="M24" s="1"/>
    </row>
    <row r="25" spans="4:13" x14ac:dyDescent="0.3">
      <c r="G25" s="29" t="str">
        <f t="shared" si="3"/>
        <v/>
      </c>
      <c r="H25" s="30"/>
      <c r="I25" s="28"/>
      <c r="J25" t="str">
        <f t="shared" si="0"/>
        <v/>
      </c>
      <c r="K25" t="str">
        <f t="shared" ca="1" si="1"/>
        <v/>
      </c>
      <c r="L25" s="1"/>
      <c r="M25" s="1"/>
    </row>
    <row r="26" spans="4:13" x14ac:dyDescent="0.3">
      <c r="D26" s="2"/>
      <c r="G26" s="23" t="str">
        <f t="shared" si="3"/>
        <v/>
      </c>
      <c r="H26" s="21"/>
      <c r="I26" s="22"/>
      <c r="J26" t="str">
        <f t="shared" si="0"/>
        <v/>
      </c>
      <c r="K26" t="str">
        <f t="shared" ca="1" si="1"/>
        <v/>
      </c>
      <c r="L26" s="1"/>
      <c r="M26" s="1"/>
    </row>
    <row r="27" spans="4:13" x14ac:dyDescent="0.3">
      <c r="G27" s="29" t="str">
        <f t="shared" si="3"/>
        <v/>
      </c>
      <c r="H27" s="30"/>
      <c r="I27" s="28"/>
      <c r="J27" t="str">
        <f t="shared" si="0"/>
        <v/>
      </c>
      <c r="K27" t="str">
        <f t="shared" ca="1" si="1"/>
        <v/>
      </c>
      <c r="L27" s="1"/>
      <c r="M27" s="1"/>
    </row>
    <row r="28" spans="4:13" x14ac:dyDescent="0.3">
      <c r="G28" s="23" t="str">
        <f t="shared" si="3"/>
        <v/>
      </c>
      <c r="H28" s="21"/>
      <c r="I28" s="22"/>
      <c r="J28" t="str">
        <f t="shared" si="0"/>
        <v/>
      </c>
      <c r="K28" t="str">
        <f t="shared" ca="1" si="1"/>
        <v/>
      </c>
      <c r="L28" s="1"/>
      <c r="M28" s="1"/>
    </row>
    <row r="29" spans="4:13" x14ac:dyDescent="0.3">
      <c r="G29" s="29" t="str">
        <f t="shared" si="3"/>
        <v/>
      </c>
      <c r="H29" s="30"/>
      <c r="I29" s="28"/>
      <c r="J29" t="str">
        <f t="shared" si="0"/>
        <v/>
      </c>
      <c r="K29" t="str">
        <f t="shared" ca="1" si="1"/>
        <v/>
      </c>
      <c r="L29" s="1"/>
      <c r="M29" s="1"/>
    </row>
    <row r="30" spans="4:13" x14ac:dyDescent="0.3">
      <c r="G30" s="23" t="str">
        <f t="shared" si="3"/>
        <v/>
      </c>
      <c r="H30" s="21"/>
      <c r="I30" s="22"/>
      <c r="J30" t="str">
        <f t="shared" si="0"/>
        <v/>
      </c>
      <c r="K30" t="str">
        <f t="shared" ca="1" si="1"/>
        <v/>
      </c>
      <c r="L30" s="1"/>
      <c r="M30" s="1"/>
    </row>
    <row r="31" spans="4:13" x14ac:dyDescent="0.3">
      <c r="G31" s="29" t="str">
        <f t="shared" si="3"/>
        <v/>
      </c>
      <c r="H31" s="30"/>
      <c r="I31" s="28"/>
      <c r="J31" t="str">
        <f t="shared" si="0"/>
        <v/>
      </c>
      <c r="K31" t="str">
        <f t="shared" ca="1" si="1"/>
        <v/>
      </c>
      <c r="L31" s="1"/>
      <c r="M31" s="1"/>
    </row>
    <row r="32" spans="4:13" x14ac:dyDescent="0.3">
      <c r="G32" s="23" t="str">
        <f t="shared" si="3"/>
        <v/>
      </c>
      <c r="H32" s="21"/>
      <c r="I32" s="22"/>
      <c r="J32" t="str">
        <f t="shared" si="0"/>
        <v/>
      </c>
      <c r="K32" t="str">
        <f t="shared" ca="1" si="1"/>
        <v/>
      </c>
    </row>
    <row r="33" spans="7:11" x14ac:dyDescent="0.3">
      <c r="G33" s="29" t="str">
        <f t="shared" si="3"/>
        <v/>
      </c>
      <c r="H33" s="30"/>
      <c r="I33" s="28"/>
      <c r="J33" t="str">
        <f t="shared" si="0"/>
        <v/>
      </c>
      <c r="K33" t="str">
        <f t="shared" ca="1" si="1"/>
        <v/>
      </c>
    </row>
    <row r="34" spans="7:11" x14ac:dyDescent="0.3">
      <c r="G34" s="23" t="str">
        <f t="shared" ref="G34:G67" si="4">IF(H34&gt;0,ROUNDUP(IF((--(RIGHT(G33,1)))=6,G33+0.5,G33+0.1),1),"")</f>
        <v/>
      </c>
      <c r="H34" s="21"/>
      <c r="I34" s="22"/>
      <c r="J34" t="str">
        <f t="shared" si="0"/>
        <v/>
      </c>
      <c r="K34" t="str">
        <f t="shared" ca="1" si="1"/>
        <v/>
      </c>
    </row>
    <row r="35" spans="7:11" x14ac:dyDescent="0.3">
      <c r="G35" s="29" t="str">
        <f t="shared" si="4"/>
        <v/>
      </c>
      <c r="H35" s="30"/>
      <c r="I35" s="28"/>
      <c r="J35" t="str">
        <f t="shared" si="0"/>
        <v/>
      </c>
      <c r="K35" t="str">
        <f t="shared" ca="1" si="1"/>
        <v/>
      </c>
    </row>
    <row r="36" spans="7:11" x14ac:dyDescent="0.3">
      <c r="G36" s="23" t="str">
        <f t="shared" si="4"/>
        <v/>
      </c>
      <c r="H36" s="21"/>
      <c r="I36" s="22"/>
      <c r="J36" t="str">
        <f t="shared" si="0"/>
        <v/>
      </c>
      <c r="K36" t="str">
        <f t="shared" ca="1" si="1"/>
        <v/>
      </c>
    </row>
    <row r="37" spans="7:11" x14ac:dyDescent="0.3">
      <c r="G37" s="29" t="str">
        <f t="shared" si="4"/>
        <v/>
      </c>
      <c r="H37" s="30"/>
      <c r="I37" s="28"/>
      <c r="J37" t="str">
        <f t="shared" si="0"/>
        <v/>
      </c>
      <c r="K37" t="str">
        <f t="shared" ca="1" si="1"/>
        <v/>
      </c>
    </row>
    <row r="38" spans="7:11" x14ac:dyDescent="0.3">
      <c r="G38" s="23" t="str">
        <f t="shared" si="4"/>
        <v/>
      </c>
      <c r="H38" s="21"/>
      <c r="I38" s="22"/>
      <c r="J38" t="str">
        <f t="shared" si="0"/>
        <v/>
      </c>
      <c r="K38" t="str">
        <f t="shared" ca="1" si="1"/>
        <v/>
      </c>
    </row>
    <row r="39" spans="7:11" x14ac:dyDescent="0.3">
      <c r="G39" s="29" t="str">
        <f t="shared" si="4"/>
        <v/>
      </c>
      <c r="H39" s="30"/>
      <c r="I39" s="28"/>
      <c r="J39" t="str">
        <f t="shared" si="0"/>
        <v/>
      </c>
      <c r="K39" t="str">
        <f t="shared" ca="1" si="1"/>
        <v/>
      </c>
    </row>
    <row r="40" spans="7:11" x14ac:dyDescent="0.3">
      <c r="G40" s="23" t="str">
        <f t="shared" si="4"/>
        <v/>
      </c>
      <c r="H40" s="21"/>
      <c r="I40" s="22"/>
      <c r="J40" t="str">
        <f t="shared" ref="J40:J67" si="5">IF(H40&lt;1,"",I40-H40)</f>
        <v/>
      </c>
      <c r="K40" t="str">
        <f t="shared" ref="K40:K67" ca="1" si="6">IF(I40="","",IF(J40=0,INDEX(Out,RANDBETWEEN(1,4),),IF(J40&gt;0,INDEX(Positive,ABS(J40),),INDEX(Negetive,ABS(J40),))))</f>
        <v/>
      </c>
    </row>
    <row r="41" spans="7:11" x14ac:dyDescent="0.3">
      <c r="G41" s="29" t="str">
        <f t="shared" si="4"/>
        <v/>
      </c>
      <c r="H41" s="30"/>
      <c r="I41" s="28"/>
      <c r="J41" t="str">
        <f t="shared" si="5"/>
        <v/>
      </c>
      <c r="K41" t="str">
        <f t="shared" ca="1" si="6"/>
        <v/>
      </c>
    </row>
    <row r="42" spans="7:11" x14ac:dyDescent="0.3">
      <c r="G42" s="23" t="str">
        <f t="shared" si="4"/>
        <v/>
      </c>
      <c r="H42" s="21"/>
      <c r="I42" s="22"/>
      <c r="J42" t="str">
        <f t="shared" si="5"/>
        <v/>
      </c>
      <c r="K42" t="str">
        <f t="shared" ca="1" si="6"/>
        <v/>
      </c>
    </row>
    <row r="43" spans="7:11" x14ac:dyDescent="0.3">
      <c r="G43" s="29" t="str">
        <f t="shared" si="4"/>
        <v/>
      </c>
      <c r="H43" s="30"/>
      <c r="I43" s="28"/>
      <c r="J43" t="str">
        <f t="shared" si="5"/>
        <v/>
      </c>
      <c r="K43" t="str">
        <f t="shared" ca="1" si="6"/>
        <v/>
      </c>
    </row>
    <row r="44" spans="7:11" x14ac:dyDescent="0.3">
      <c r="G44" s="23" t="str">
        <f t="shared" si="4"/>
        <v/>
      </c>
      <c r="H44" s="21"/>
      <c r="I44" s="22"/>
      <c r="J44" t="str">
        <f t="shared" si="5"/>
        <v/>
      </c>
      <c r="K44" t="str">
        <f t="shared" ca="1" si="6"/>
        <v/>
      </c>
    </row>
    <row r="45" spans="7:11" x14ac:dyDescent="0.3">
      <c r="G45" s="29" t="str">
        <f t="shared" si="4"/>
        <v/>
      </c>
      <c r="H45" s="30"/>
      <c r="I45" s="28"/>
      <c r="J45" t="str">
        <f t="shared" si="5"/>
        <v/>
      </c>
      <c r="K45" t="str">
        <f t="shared" ca="1" si="6"/>
        <v/>
      </c>
    </row>
    <row r="46" spans="7:11" x14ac:dyDescent="0.3">
      <c r="G46" s="23" t="str">
        <f t="shared" si="4"/>
        <v/>
      </c>
      <c r="H46" s="21"/>
      <c r="I46" s="22"/>
      <c r="J46" t="str">
        <f t="shared" si="5"/>
        <v/>
      </c>
      <c r="K46" t="str">
        <f t="shared" ca="1" si="6"/>
        <v/>
      </c>
    </row>
    <row r="47" spans="7:11" x14ac:dyDescent="0.3">
      <c r="G47" s="29" t="str">
        <f t="shared" si="4"/>
        <v/>
      </c>
      <c r="H47" s="30"/>
      <c r="I47" s="28"/>
      <c r="J47" t="str">
        <f t="shared" si="5"/>
        <v/>
      </c>
      <c r="K47" t="str">
        <f t="shared" ca="1" si="6"/>
        <v/>
      </c>
    </row>
    <row r="48" spans="7:11" x14ac:dyDescent="0.3">
      <c r="G48" s="23" t="str">
        <f t="shared" si="4"/>
        <v/>
      </c>
      <c r="H48" s="21"/>
      <c r="I48" s="22"/>
      <c r="J48" t="str">
        <f t="shared" si="5"/>
        <v/>
      </c>
      <c r="K48" t="str">
        <f t="shared" ca="1" si="6"/>
        <v/>
      </c>
    </row>
    <row r="49" spans="7:11" x14ac:dyDescent="0.3">
      <c r="G49" s="29" t="str">
        <f t="shared" si="4"/>
        <v/>
      </c>
      <c r="H49" s="30"/>
      <c r="I49" s="28"/>
      <c r="J49" t="str">
        <f t="shared" si="5"/>
        <v/>
      </c>
      <c r="K49" t="str">
        <f t="shared" ca="1" si="6"/>
        <v/>
      </c>
    </row>
    <row r="50" spans="7:11" x14ac:dyDescent="0.3">
      <c r="G50" s="23" t="str">
        <f t="shared" si="4"/>
        <v/>
      </c>
      <c r="H50" s="21"/>
      <c r="I50" s="22"/>
      <c r="J50" t="str">
        <f t="shared" si="5"/>
        <v/>
      </c>
      <c r="K50" t="str">
        <f t="shared" ca="1" si="6"/>
        <v/>
      </c>
    </row>
    <row r="51" spans="7:11" x14ac:dyDescent="0.3">
      <c r="G51" s="29" t="str">
        <f t="shared" si="4"/>
        <v/>
      </c>
      <c r="H51" s="30"/>
      <c r="I51" s="28"/>
      <c r="J51" t="str">
        <f t="shared" si="5"/>
        <v/>
      </c>
      <c r="K51" t="str">
        <f t="shared" ca="1" si="6"/>
        <v/>
      </c>
    </row>
    <row r="52" spans="7:11" x14ac:dyDescent="0.3">
      <c r="G52" s="23" t="str">
        <f t="shared" si="4"/>
        <v/>
      </c>
      <c r="H52" s="21"/>
      <c r="I52" s="22"/>
      <c r="J52" t="str">
        <f t="shared" si="5"/>
        <v/>
      </c>
      <c r="K52" t="str">
        <f t="shared" ca="1" si="6"/>
        <v/>
      </c>
    </row>
    <row r="53" spans="7:11" x14ac:dyDescent="0.3">
      <c r="G53" s="29" t="str">
        <f t="shared" si="4"/>
        <v/>
      </c>
      <c r="H53" s="30"/>
      <c r="I53" s="28"/>
      <c r="J53" t="str">
        <f t="shared" si="5"/>
        <v/>
      </c>
      <c r="K53" t="str">
        <f t="shared" ca="1" si="6"/>
        <v/>
      </c>
    </row>
    <row r="54" spans="7:11" x14ac:dyDescent="0.3">
      <c r="G54" s="23" t="str">
        <f t="shared" si="4"/>
        <v/>
      </c>
      <c r="H54" s="21"/>
      <c r="I54" s="22"/>
      <c r="J54" t="str">
        <f t="shared" si="5"/>
        <v/>
      </c>
      <c r="K54" t="str">
        <f t="shared" ca="1" si="6"/>
        <v/>
      </c>
    </row>
    <row r="55" spans="7:11" x14ac:dyDescent="0.3">
      <c r="G55" s="29" t="str">
        <f t="shared" si="4"/>
        <v/>
      </c>
      <c r="H55" s="30"/>
      <c r="I55" s="28"/>
      <c r="J55" t="str">
        <f t="shared" si="5"/>
        <v/>
      </c>
      <c r="K55" t="str">
        <f t="shared" ca="1" si="6"/>
        <v/>
      </c>
    </row>
    <row r="56" spans="7:11" x14ac:dyDescent="0.3">
      <c r="G56" s="23" t="str">
        <f t="shared" si="4"/>
        <v/>
      </c>
      <c r="H56" s="21"/>
      <c r="I56" s="22"/>
      <c r="J56" t="str">
        <f t="shared" si="5"/>
        <v/>
      </c>
      <c r="K56" t="str">
        <f t="shared" ca="1" si="6"/>
        <v/>
      </c>
    </row>
    <row r="57" spans="7:11" x14ac:dyDescent="0.3">
      <c r="G57" s="29" t="str">
        <f t="shared" si="4"/>
        <v/>
      </c>
      <c r="H57" s="30"/>
      <c r="I57" s="28"/>
      <c r="J57" t="str">
        <f t="shared" si="5"/>
        <v/>
      </c>
      <c r="K57" t="str">
        <f t="shared" ca="1" si="6"/>
        <v/>
      </c>
    </row>
    <row r="58" spans="7:11" x14ac:dyDescent="0.3">
      <c r="G58" s="23" t="str">
        <f t="shared" si="4"/>
        <v/>
      </c>
      <c r="H58" s="21"/>
      <c r="I58" s="22"/>
      <c r="J58" t="str">
        <f t="shared" si="5"/>
        <v/>
      </c>
      <c r="K58" t="str">
        <f t="shared" ca="1" si="6"/>
        <v/>
      </c>
    </row>
    <row r="59" spans="7:11" x14ac:dyDescent="0.3">
      <c r="G59" s="29" t="str">
        <f t="shared" si="4"/>
        <v/>
      </c>
      <c r="H59" s="30"/>
      <c r="I59" s="28"/>
      <c r="J59" t="str">
        <f t="shared" si="5"/>
        <v/>
      </c>
      <c r="K59" t="str">
        <f t="shared" ca="1" si="6"/>
        <v/>
      </c>
    </row>
    <row r="60" spans="7:11" x14ac:dyDescent="0.3">
      <c r="G60" s="23" t="str">
        <f t="shared" si="4"/>
        <v/>
      </c>
      <c r="H60" s="21"/>
      <c r="I60" s="22"/>
      <c r="J60" t="str">
        <f t="shared" si="5"/>
        <v/>
      </c>
      <c r="K60" t="str">
        <f t="shared" ca="1" si="6"/>
        <v/>
      </c>
    </row>
    <row r="61" spans="7:11" x14ac:dyDescent="0.3">
      <c r="G61" s="29" t="str">
        <f t="shared" si="4"/>
        <v/>
      </c>
      <c r="H61" s="30"/>
      <c r="I61" s="28"/>
      <c r="J61" t="str">
        <f t="shared" si="5"/>
        <v/>
      </c>
      <c r="K61" t="str">
        <f t="shared" ca="1" si="6"/>
        <v/>
      </c>
    </row>
    <row r="62" spans="7:11" x14ac:dyDescent="0.3">
      <c r="G62" s="23" t="str">
        <f t="shared" si="4"/>
        <v/>
      </c>
      <c r="H62" s="21"/>
      <c r="I62" s="22"/>
      <c r="J62" t="str">
        <f t="shared" si="5"/>
        <v/>
      </c>
      <c r="K62" t="str">
        <f t="shared" ca="1" si="6"/>
        <v/>
      </c>
    </row>
    <row r="63" spans="7:11" x14ac:dyDescent="0.3">
      <c r="G63" s="29" t="str">
        <f t="shared" si="4"/>
        <v/>
      </c>
      <c r="H63" s="30"/>
      <c r="I63" s="28"/>
      <c r="J63" t="str">
        <f t="shared" si="5"/>
        <v/>
      </c>
      <c r="K63" t="str">
        <f t="shared" ca="1" si="6"/>
        <v/>
      </c>
    </row>
    <row r="64" spans="7:11" x14ac:dyDescent="0.3">
      <c r="G64" s="23" t="str">
        <f t="shared" si="4"/>
        <v/>
      </c>
      <c r="H64" s="21"/>
      <c r="I64" s="22"/>
      <c r="J64" t="str">
        <f t="shared" si="5"/>
        <v/>
      </c>
      <c r="K64" t="str">
        <f t="shared" ca="1" si="6"/>
        <v/>
      </c>
    </row>
    <row r="65" spans="7:11" x14ac:dyDescent="0.3">
      <c r="G65" s="29" t="str">
        <f t="shared" si="4"/>
        <v/>
      </c>
      <c r="H65" s="30"/>
      <c r="I65" s="28"/>
      <c r="J65" t="str">
        <f t="shared" si="5"/>
        <v/>
      </c>
      <c r="K65" t="str">
        <f t="shared" ca="1" si="6"/>
        <v/>
      </c>
    </row>
    <row r="66" spans="7:11" x14ac:dyDescent="0.3">
      <c r="G66" s="23" t="str">
        <f t="shared" si="4"/>
        <v/>
      </c>
      <c r="H66" s="21"/>
      <c r="I66" s="22"/>
      <c r="J66" t="str">
        <f t="shared" si="5"/>
        <v/>
      </c>
      <c r="K66" t="str">
        <f t="shared" ca="1" si="6"/>
        <v/>
      </c>
    </row>
    <row r="67" spans="7:11" x14ac:dyDescent="0.3">
      <c r="G67" s="31" t="str">
        <f t="shared" si="4"/>
        <v/>
      </c>
      <c r="H67" s="32"/>
      <c r="I67" s="33"/>
      <c r="J67" t="str">
        <f t="shared" si="5"/>
        <v/>
      </c>
      <c r="K67" t="str">
        <f t="shared" ca="1" si="6"/>
        <v/>
      </c>
    </row>
    <row r="68" spans="7:11" x14ac:dyDescent="0.3">
      <c r="G68" s="6"/>
      <c r="H68" s="1"/>
      <c r="I68" s="1"/>
    </row>
    <row r="69" spans="7:11" x14ac:dyDescent="0.3">
      <c r="G69" s="6"/>
      <c r="H69" s="1"/>
      <c r="I69" s="1"/>
    </row>
    <row r="70" spans="7:11" x14ac:dyDescent="0.3">
      <c r="H70" s="1"/>
      <c r="I70" s="1"/>
    </row>
    <row r="71" spans="7:11" x14ac:dyDescent="0.3">
      <c r="H71" s="1"/>
      <c r="I71" s="1"/>
    </row>
    <row r="72" spans="7:11" x14ac:dyDescent="0.3">
      <c r="H72" s="1"/>
      <c r="I72" s="1"/>
    </row>
    <row r="73" spans="7:11" x14ac:dyDescent="0.3">
      <c r="H73" s="1"/>
      <c r="I73" s="1"/>
    </row>
    <row r="74" spans="7:11" x14ac:dyDescent="0.3">
      <c r="H74" s="1"/>
      <c r="I74" s="1"/>
    </row>
    <row r="75" spans="7:11" x14ac:dyDescent="0.3">
      <c r="H75" s="1"/>
      <c r="I75" s="1"/>
    </row>
    <row r="76" spans="7:11" x14ac:dyDescent="0.3">
      <c r="H76" s="1"/>
      <c r="I76" s="1"/>
    </row>
    <row r="77" spans="7:11" x14ac:dyDescent="0.3">
      <c r="H77" s="1"/>
      <c r="I77" s="1"/>
    </row>
    <row r="78" spans="7:11" x14ac:dyDescent="0.3">
      <c r="H78" s="1"/>
      <c r="I78" s="1"/>
    </row>
    <row r="79" spans="7:11" x14ac:dyDescent="0.3">
      <c r="H79" s="1"/>
      <c r="I79" s="1"/>
    </row>
    <row r="80" spans="7:11" x14ac:dyDescent="0.3">
      <c r="H80" s="1"/>
      <c r="I80" s="1"/>
    </row>
    <row r="81" spans="8:9" x14ac:dyDescent="0.3">
      <c r="H81" s="1"/>
      <c r="I81" s="1"/>
    </row>
    <row r="82" spans="8:9" x14ac:dyDescent="0.3">
      <c r="H82" s="1"/>
      <c r="I82" s="1"/>
    </row>
    <row r="83" spans="8:9" x14ac:dyDescent="0.3">
      <c r="H83" s="1"/>
      <c r="I83" s="1"/>
    </row>
    <row r="84" spans="8:9" x14ac:dyDescent="0.3">
      <c r="H84" s="1"/>
      <c r="I84" s="1"/>
    </row>
    <row r="85" spans="8:9" x14ac:dyDescent="0.3">
      <c r="H85" s="1"/>
      <c r="I85" s="1"/>
    </row>
    <row r="86" spans="8:9" x14ac:dyDescent="0.3">
      <c r="H86" s="1"/>
      <c r="I86" s="1"/>
    </row>
    <row r="87" spans="8:9" x14ac:dyDescent="0.3">
      <c r="H87" s="1"/>
      <c r="I87" s="1"/>
    </row>
    <row r="88" spans="8:9" x14ac:dyDescent="0.3">
      <c r="H88" s="1"/>
      <c r="I88" s="1"/>
    </row>
    <row r="89" spans="8:9" x14ac:dyDescent="0.3">
      <c r="H89" s="1"/>
      <c r="I89" s="1"/>
    </row>
    <row r="90" spans="8:9" x14ac:dyDescent="0.3">
      <c r="H90" s="1"/>
      <c r="I90" s="1"/>
    </row>
    <row r="91" spans="8:9" x14ac:dyDescent="0.3">
      <c r="H91" s="1"/>
      <c r="I91" s="1"/>
    </row>
    <row r="92" spans="8:9" x14ac:dyDescent="0.3">
      <c r="H92" s="1"/>
      <c r="I92" s="1"/>
    </row>
    <row r="93" spans="8:9" x14ac:dyDescent="0.3">
      <c r="H93" s="1"/>
      <c r="I93" s="1"/>
    </row>
    <row r="94" spans="8:9" x14ac:dyDescent="0.3">
      <c r="H94" s="1"/>
      <c r="I94" s="1"/>
    </row>
    <row r="95" spans="8:9" x14ac:dyDescent="0.3">
      <c r="H95" s="1"/>
      <c r="I95" s="1"/>
    </row>
    <row r="96" spans="8:9" x14ac:dyDescent="0.3">
      <c r="H96" s="1"/>
      <c r="I96" s="1"/>
    </row>
    <row r="97" spans="8:9" x14ac:dyDescent="0.3">
      <c r="H97" s="1"/>
      <c r="I97" s="1"/>
    </row>
    <row r="98" spans="8:9" x14ac:dyDescent="0.3">
      <c r="H98" s="1"/>
      <c r="I98" s="1"/>
    </row>
    <row r="99" spans="8:9" x14ac:dyDescent="0.3">
      <c r="H99" s="1"/>
      <c r="I99" s="1"/>
    </row>
    <row r="100" spans="8:9" x14ac:dyDescent="0.3">
      <c r="H100" s="1"/>
      <c r="I100" s="1"/>
    </row>
    <row r="101" spans="8:9" x14ac:dyDescent="0.3">
      <c r="H101" s="1"/>
      <c r="I101" s="1"/>
    </row>
    <row r="102" spans="8:9" x14ac:dyDescent="0.3">
      <c r="H102" s="1"/>
      <c r="I102" s="1"/>
    </row>
    <row r="103" spans="8:9" x14ac:dyDescent="0.3">
      <c r="H103" s="1"/>
      <c r="I103" s="1"/>
    </row>
    <row r="104" spans="8:9" x14ac:dyDescent="0.3">
      <c r="H104" s="1"/>
      <c r="I104" s="1"/>
    </row>
    <row r="105" spans="8:9" x14ac:dyDescent="0.3">
      <c r="H105" s="1"/>
      <c r="I105" s="1"/>
    </row>
    <row r="106" spans="8:9" x14ac:dyDescent="0.3">
      <c r="H106" s="1"/>
      <c r="I106" s="1"/>
    </row>
    <row r="107" spans="8:9" x14ac:dyDescent="0.3">
      <c r="H107" s="1"/>
      <c r="I107" s="1"/>
    </row>
    <row r="108" spans="8:9" x14ac:dyDescent="0.3">
      <c r="H108" s="1"/>
      <c r="I108" s="1"/>
    </row>
    <row r="109" spans="8:9" x14ac:dyDescent="0.3">
      <c r="H109" s="1"/>
      <c r="I109" s="1"/>
    </row>
    <row r="110" spans="8:9" x14ac:dyDescent="0.3">
      <c r="H110" s="1"/>
      <c r="I110" s="1"/>
    </row>
    <row r="111" spans="8:9" x14ac:dyDescent="0.3">
      <c r="H111" s="1"/>
      <c r="I111" s="1"/>
    </row>
    <row r="112" spans="8:9" x14ac:dyDescent="0.3">
      <c r="H112" s="1"/>
      <c r="I112" s="1"/>
    </row>
    <row r="113" spans="8:9" x14ac:dyDescent="0.3">
      <c r="H113" s="1"/>
      <c r="I113" s="1"/>
    </row>
    <row r="114" spans="8:9" x14ac:dyDescent="0.3">
      <c r="H114" s="1"/>
      <c r="I114" s="1"/>
    </row>
    <row r="115" spans="8:9" x14ac:dyDescent="0.3">
      <c r="H115" s="1"/>
      <c r="I115" s="1"/>
    </row>
    <row r="116" spans="8:9" x14ac:dyDescent="0.3">
      <c r="H116" s="1"/>
      <c r="I116" s="1"/>
    </row>
    <row r="117" spans="8:9" x14ac:dyDescent="0.3">
      <c r="H117" s="1"/>
      <c r="I117" s="1"/>
    </row>
    <row r="118" spans="8:9" x14ac:dyDescent="0.3">
      <c r="H118" s="1"/>
      <c r="I118" s="1"/>
    </row>
    <row r="119" spans="8:9" x14ac:dyDescent="0.3">
      <c r="H119" s="1"/>
      <c r="I119" s="1"/>
    </row>
    <row r="120" spans="8:9" x14ac:dyDescent="0.3">
      <c r="H120" s="1"/>
      <c r="I120" s="1"/>
    </row>
    <row r="121" spans="8:9" x14ac:dyDescent="0.3">
      <c r="H121" s="1"/>
      <c r="I121" s="1"/>
    </row>
    <row r="122" spans="8:9" x14ac:dyDescent="0.3">
      <c r="H122" s="1"/>
      <c r="I122" s="1"/>
    </row>
    <row r="123" spans="8:9" x14ac:dyDescent="0.3">
      <c r="H123" s="1"/>
      <c r="I123" s="1"/>
    </row>
    <row r="124" spans="8:9" x14ac:dyDescent="0.3">
      <c r="H124" s="1"/>
      <c r="I124" s="1"/>
    </row>
    <row r="125" spans="8:9" x14ac:dyDescent="0.3">
      <c r="H125" s="1"/>
      <c r="I125" s="1"/>
    </row>
    <row r="126" spans="8:9" x14ac:dyDescent="0.3">
      <c r="H126" s="1"/>
      <c r="I126" s="1"/>
    </row>
    <row r="127" spans="8:9" x14ac:dyDescent="0.3">
      <c r="H127" s="1"/>
      <c r="I127" s="1"/>
    </row>
    <row r="128" spans="8:9" x14ac:dyDescent="0.3">
      <c r="H128" s="1"/>
      <c r="I128" s="1"/>
    </row>
    <row r="129" spans="8:9" x14ac:dyDescent="0.3">
      <c r="H129" s="1"/>
      <c r="I129" s="1"/>
    </row>
    <row r="130" spans="8:9" x14ac:dyDescent="0.3">
      <c r="H130" s="1"/>
      <c r="I130" s="1"/>
    </row>
    <row r="131" spans="8:9" x14ac:dyDescent="0.3">
      <c r="H131" s="1"/>
      <c r="I131" s="1"/>
    </row>
    <row r="132" spans="8:9" x14ac:dyDescent="0.3">
      <c r="H132" s="1"/>
      <c r="I132" s="1"/>
    </row>
    <row r="133" spans="8:9" x14ac:dyDescent="0.3">
      <c r="H133" s="1"/>
      <c r="I133" s="1"/>
    </row>
    <row r="134" spans="8:9" x14ac:dyDescent="0.3">
      <c r="H134" s="1"/>
      <c r="I134" s="1"/>
    </row>
    <row r="135" spans="8:9" x14ac:dyDescent="0.3">
      <c r="H135" s="1"/>
      <c r="I135" s="1"/>
    </row>
    <row r="136" spans="8:9" x14ac:dyDescent="0.3">
      <c r="H136" s="1"/>
      <c r="I136" s="1"/>
    </row>
    <row r="137" spans="8:9" x14ac:dyDescent="0.3">
      <c r="H137" s="1"/>
      <c r="I137" s="1"/>
    </row>
    <row r="138" spans="8:9" x14ac:dyDescent="0.3">
      <c r="H138" s="1"/>
      <c r="I138" s="1"/>
    </row>
    <row r="139" spans="8:9" x14ac:dyDescent="0.3">
      <c r="H139" s="1"/>
      <c r="I139" s="1"/>
    </row>
    <row r="140" spans="8:9" x14ac:dyDescent="0.3">
      <c r="H140" s="1"/>
      <c r="I140" s="1"/>
    </row>
    <row r="141" spans="8:9" x14ac:dyDescent="0.3">
      <c r="H141" s="1"/>
      <c r="I141" s="1"/>
    </row>
    <row r="142" spans="8:9" x14ac:dyDescent="0.3">
      <c r="H142" s="1"/>
      <c r="I142" s="1"/>
    </row>
    <row r="143" spans="8:9" x14ac:dyDescent="0.3">
      <c r="H143" s="1"/>
      <c r="I143" s="1"/>
    </row>
    <row r="144" spans="8:9" x14ac:dyDescent="0.3">
      <c r="H144" s="1"/>
      <c r="I144" s="1"/>
    </row>
    <row r="145" spans="8:9" x14ac:dyDescent="0.3">
      <c r="H145" s="1"/>
      <c r="I145" s="1"/>
    </row>
    <row r="146" spans="8:9" x14ac:dyDescent="0.3">
      <c r="H146" s="1"/>
      <c r="I146" s="1"/>
    </row>
    <row r="147" spans="8:9" x14ac:dyDescent="0.3">
      <c r="H147" s="1"/>
      <c r="I147" s="1"/>
    </row>
    <row r="148" spans="8:9" x14ac:dyDescent="0.3">
      <c r="H148" s="1"/>
      <c r="I148" s="1"/>
    </row>
    <row r="149" spans="8:9" x14ac:dyDescent="0.3">
      <c r="H149" s="1"/>
      <c r="I149" s="1"/>
    </row>
    <row r="150" spans="8:9" x14ac:dyDescent="0.3">
      <c r="H150" s="1"/>
      <c r="I150" s="1"/>
    </row>
    <row r="151" spans="8:9" x14ac:dyDescent="0.3">
      <c r="H151" s="1"/>
      <c r="I151" s="1"/>
    </row>
    <row r="152" spans="8:9" x14ac:dyDescent="0.3">
      <c r="H152" s="1"/>
      <c r="I152" s="1"/>
    </row>
    <row r="153" spans="8:9" x14ac:dyDescent="0.3">
      <c r="H153" s="1"/>
      <c r="I153" s="1"/>
    </row>
    <row r="154" spans="8:9" x14ac:dyDescent="0.3">
      <c r="H154" s="1"/>
      <c r="I154" s="1"/>
    </row>
    <row r="155" spans="8:9" x14ac:dyDescent="0.3">
      <c r="H155" s="1"/>
      <c r="I155" s="1"/>
    </row>
    <row r="156" spans="8:9" x14ac:dyDescent="0.3">
      <c r="H156" s="1"/>
      <c r="I156" s="1"/>
    </row>
    <row r="157" spans="8:9" x14ac:dyDescent="0.3">
      <c r="H157" s="1"/>
      <c r="I157" s="1"/>
    </row>
    <row r="158" spans="8:9" x14ac:dyDescent="0.3">
      <c r="H158" s="1"/>
      <c r="I158" s="1"/>
    </row>
    <row r="159" spans="8:9" x14ac:dyDescent="0.3">
      <c r="H159" s="1"/>
      <c r="I159" s="1"/>
    </row>
    <row r="160" spans="8:9" x14ac:dyDescent="0.3">
      <c r="H160" s="1"/>
      <c r="I160" s="1"/>
    </row>
    <row r="161" spans="8:9" x14ac:dyDescent="0.3">
      <c r="H161" s="1"/>
      <c r="I161" s="1"/>
    </row>
    <row r="162" spans="8:9" x14ac:dyDescent="0.3">
      <c r="H162" s="1"/>
      <c r="I162" s="1"/>
    </row>
    <row r="163" spans="8:9" x14ac:dyDescent="0.3">
      <c r="H163" s="1"/>
      <c r="I163" s="1"/>
    </row>
    <row r="164" spans="8:9" x14ac:dyDescent="0.3">
      <c r="H164" s="1"/>
      <c r="I164" s="1"/>
    </row>
    <row r="165" spans="8:9" x14ac:dyDescent="0.3">
      <c r="H165" s="1"/>
      <c r="I165" s="1"/>
    </row>
    <row r="166" spans="8:9" x14ac:dyDescent="0.3">
      <c r="H166" s="1"/>
      <c r="I166" s="1"/>
    </row>
    <row r="167" spans="8:9" x14ac:dyDescent="0.3">
      <c r="H167" s="1"/>
      <c r="I167" s="1"/>
    </row>
    <row r="168" spans="8:9" x14ac:dyDescent="0.3">
      <c r="H168" s="1"/>
      <c r="I168" s="1"/>
    </row>
    <row r="169" spans="8:9" x14ac:dyDescent="0.3">
      <c r="H169" s="1"/>
      <c r="I169" s="1"/>
    </row>
    <row r="170" spans="8:9" x14ac:dyDescent="0.3">
      <c r="H170" s="1"/>
      <c r="I170" s="1"/>
    </row>
    <row r="171" spans="8:9" x14ac:dyDescent="0.3">
      <c r="H171" s="1"/>
      <c r="I171" s="1"/>
    </row>
    <row r="172" spans="8:9" x14ac:dyDescent="0.3">
      <c r="H172" s="1"/>
      <c r="I172" s="1"/>
    </row>
    <row r="173" spans="8:9" x14ac:dyDescent="0.3">
      <c r="H173" s="1"/>
      <c r="I173" s="1"/>
    </row>
    <row r="174" spans="8:9" x14ac:dyDescent="0.3">
      <c r="H174" s="1"/>
      <c r="I174" s="1"/>
    </row>
    <row r="175" spans="8:9" x14ac:dyDescent="0.3">
      <c r="H175" s="1"/>
      <c r="I175" s="1"/>
    </row>
    <row r="176" spans="8:9" x14ac:dyDescent="0.3">
      <c r="H176" s="1"/>
      <c r="I176" s="1"/>
    </row>
    <row r="177" spans="8:9" x14ac:dyDescent="0.3">
      <c r="H177" s="1"/>
      <c r="I177" s="1"/>
    </row>
    <row r="178" spans="8:9" x14ac:dyDescent="0.3">
      <c r="H178" s="1"/>
      <c r="I178" s="1"/>
    </row>
    <row r="179" spans="8:9" x14ac:dyDescent="0.3">
      <c r="H179" s="1"/>
      <c r="I179" s="1"/>
    </row>
    <row r="180" spans="8:9" x14ac:dyDescent="0.3">
      <c r="H180" s="1"/>
      <c r="I180" s="1"/>
    </row>
    <row r="181" spans="8:9" x14ac:dyDescent="0.3">
      <c r="H181" s="1"/>
      <c r="I181" s="1"/>
    </row>
    <row r="182" spans="8:9" x14ac:dyDescent="0.3">
      <c r="H182" s="1"/>
      <c r="I182" s="1"/>
    </row>
    <row r="183" spans="8:9" x14ac:dyDescent="0.3">
      <c r="H183" s="1"/>
      <c r="I183" s="1"/>
    </row>
    <row r="184" spans="8:9" x14ac:dyDescent="0.3">
      <c r="H184" s="1"/>
      <c r="I184" s="1"/>
    </row>
    <row r="185" spans="8:9" x14ac:dyDescent="0.3">
      <c r="H185" s="1"/>
      <c r="I185" s="1"/>
    </row>
    <row r="186" spans="8:9" x14ac:dyDescent="0.3">
      <c r="H186" s="1"/>
      <c r="I186" s="1"/>
    </row>
    <row r="187" spans="8:9" x14ac:dyDescent="0.3">
      <c r="H187" s="1"/>
      <c r="I187" s="1"/>
    </row>
    <row r="188" spans="8:9" x14ac:dyDescent="0.3">
      <c r="H188" s="1"/>
      <c r="I188" s="1"/>
    </row>
    <row r="189" spans="8:9" x14ac:dyDescent="0.3">
      <c r="H189" s="1"/>
      <c r="I189" s="1"/>
    </row>
    <row r="190" spans="8:9" x14ac:dyDescent="0.3">
      <c r="H190" s="1"/>
      <c r="I190" s="1"/>
    </row>
    <row r="191" spans="8:9" x14ac:dyDescent="0.3">
      <c r="H191" s="1"/>
      <c r="I191" s="1"/>
    </row>
    <row r="192" spans="8:9" x14ac:dyDescent="0.3">
      <c r="H192" s="1"/>
      <c r="I192" s="1"/>
    </row>
    <row r="193" spans="8:9" x14ac:dyDescent="0.3">
      <c r="H193" s="1"/>
      <c r="I193" s="1"/>
    </row>
    <row r="194" spans="8:9" x14ac:dyDescent="0.3">
      <c r="H194" s="1"/>
      <c r="I194" s="1"/>
    </row>
    <row r="195" spans="8:9" x14ac:dyDescent="0.3">
      <c r="H195" s="1"/>
      <c r="I195" s="1"/>
    </row>
    <row r="196" spans="8:9" x14ac:dyDescent="0.3">
      <c r="H196" s="1"/>
      <c r="I196" s="1"/>
    </row>
    <row r="197" spans="8:9" x14ac:dyDescent="0.3">
      <c r="H197" s="1"/>
      <c r="I197" s="1"/>
    </row>
    <row r="198" spans="8:9" x14ac:dyDescent="0.3">
      <c r="H198" s="1"/>
      <c r="I198" s="1"/>
    </row>
    <row r="199" spans="8:9" x14ac:dyDescent="0.3">
      <c r="H199" s="1"/>
      <c r="I199" s="1"/>
    </row>
    <row r="200" spans="8:9" x14ac:dyDescent="0.3">
      <c r="H200" s="1"/>
      <c r="I200" s="1"/>
    </row>
    <row r="201" spans="8:9" x14ac:dyDescent="0.3">
      <c r="H201" s="1"/>
      <c r="I201" s="1"/>
    </row>
    <row r="202" spans="8:9" x14ac:dyDescent="0.3">
      <c r="H202" s="1"/>
      <c r="I202" s="1"/>
    </row>
    <row r="203" spans="8:9" x14ac:dyDescent="0.3">
      <c r="H203" s="1"/>
      <c r="I203" s="1"/>
    </row>
    <row r="204" spans="8:9" x14ac:dyDescent="0.3">
      <c r="H204" s="1"/>
      <c r="I204" s="1"/>
    </row>
    <row r="205" spans="8:9" x14ac:dyDescent="0.3">
      <c r="H205" s="1"/>
      <c r="I205" s="1"/>
    </row>
    <row r="206" spans="8:9" x14ac:dyDescent="0.3">
      <c r="H206" s="1"/>
      <c r="I206" s="1"/>
    </row>
    <row r="207" spans="8:9" x14ac:dyDescent="0.3">
      <c r="H207" s="1"/>
      <c r="I207" s="1"/>
    </row>
    <row r="208" spans="8:9" x14ac:dyDescent="0.3">
      <c r="H208" s="1"/>
      <c r="I208" s="1"/>
    </row>
    <row r="209" spans="8:9" x14ac:dyDescent="0.3">
      <c r="H209" s="1"/>
      <c r="I209" s="1"/>
    </row>
    <row r="210" spans="8:9" x14ac:dyDescent="0.3">
      <c r="H210" s="1"/>
      <c r="I210" s="1"/>
    </row>
    <row r="211" spans="8:9" x14ac:dyDescent="0.3">
      <c r="H211" s="1"/>
      <c r="I211" s="1"/>
    </row>
    <row r="212" spans="8:9" x14ac:dyDescent="0.3">
      <c r="H212" s="1"/>
      <c r="I212" s="1"/>
    </row>
    <row r="213" spans="8:9" x14ac:dyDescent="0.3">
      <c r="H213" s="1"/>
      <c r="I213" s="1"/>
    </row>
    <row r="214" spans="8:9" x14ac:dyDescent="0.3">
      <c r="H214" s="1"/>
      <c r="I214" s="1"/>
    </row>
    <row r="215" spans="8:9" x14ac:dyDescent="0.3">
      <c r="H215" s="1"/>
      <c r="I215" s="1"/>
    </row>
    <row r="216" spans="8:9" x14ac:dyDescent="0.3">
      <c r="H216" s="1"/>
      <c r="I216" s="1"/>
    </row>
    <row r="217" spans="8:9" x14ac:dyDescent="0.3">
      <c r="H217" s="1"/>
      <c r="I217" s="1"/>
    </row>
    <row r="218" spans="8:9" x14ac:dyDescent="0.3">
      <c r="H218" s="1"/>
      <c r="I218" s="1"/>
    </row>
    <row r="219" spans="8:9" x14ac:dyDescent="0.3">
      <c r="H219" s="1"/>
      <c r="I219" s="1"/>
    </row>
    <row r="220" spans="8:9" x14ac:dyDescent="0.3">
      <c r="H220" s="1"/>
      <c r="I220" s="1"/>
    </row>
    <row r="221" spans="8:9" x14ac:dyDescent="0.3">
      <c r="H221" s="1"/>
      <c r="I221" s="1"/>
    </row>
    <row r="222" spans="8:9" x14ac:dyDescent="0.3">
      <c r="H222" s="1"/>
      <c r="I222" s="1"/>
    </row>
    <row r="223" spans="8:9" x14ac:dyDescent="0.3">
      <c r="H223" s="1"/>
      <c r="I223" s="1"/>
    </row>
    <row r="224" spans="8:9" x14ac:dyDescent="0.3">
      <c r="H224" s="1"/>
      <c r="I224" s="1"/>
    </row>
    <row r="225" spans="8:9" x14ac:dyDescent="0.3">
      <c r="H225" s="1"/>
      <c r="I225" s="1"/>
    </row>
    <row r="226" spans="8:9" x14ac:dyDescent="0.3">
      <c r="H226" s="1"/>
      <c r="I226" s="1"/>
    </row>
    <row r="227" spans="8:9" x14ac:dyDescent="0.3">
      <c r="H227" s="1"/>
      <c r="I227" s="1"/>
    </row>
    <row r="228" spans="8:9" x14ac:dyDescent="0.3">
      <c r="H228" s="1"/>
      <c r="I228" s="1"/>
    </row>
    <row r="229" spans="8:9" x14ac:dyDescent="0.3">
      <c r="H229" s="1"/>
      <c r="I229" s="1"/>
    </row>
    <row r="230" spans="8:9" x14ac:dyDescent="0.3">
      <c r="H230" s="1"/>
      <c r="I230" s="1"/>
    </row>
    <row r="231" spans="8:9" x14ac:dyDescent="0.3">
      <c r="H231" s="1"/>
      <c r="I231" s="1"/>
    </row>
    <row r="232" spans="8:9" x14ac:dyDescent="0.3">
      <c r="H232" s="1"/>
      <c r="I232" s="1"/>
    </row>
    <row r="233" spans="8:9" x14ac:dyDescent="0.3">
      <c r="H233" s="1"/>
      <c r="I233" s="1"/>
    </row>
    <row r="234" spans="8:9" x14ac:dyDescent="0.3">
      <c r="H234" s="1"/>
      <c r="I234" s="1"/>
    </row>
    <row r="235" spans="8:9" x14ac:dyDescent="0.3">
      <c r="H235" s="1"/>
      <c r="I235" s="1"/>
    </row>
    <row r="236" spans="8:9" x14ac:dyDescent="0.3">
      <c r="H236" s="1"/>
      <c r="I236" s="1"/>
    </row>
    <row r="237" spans="8:9" x14ac:dyDescent="0.3">
      <c r="H237" s="1"/>
      <c r="I237" s="1"/>
    </row>
    <row r="238" spans="8:9" x14ac:dyDescent="0.3">
      <c r="H238" s="1"/>
      <c r="I238" s="1"/>
    </row>
    <row r="239" spans="8:9" x14ac:dyDescent="0.3">
      <c r="H239" s="1"/>
      <c r="I239" s="1"/>
    </row>
    <row r="240" spans="8:9" x14ac:dyDescent="0.3">
      <c r="H240" s="1"/>
      <c r="I240" s="1"/>
    </row>
    <row r="241" spans="8:9" x14ac:dyDescent="0.3">
      <c r="H241" s="1"/>
      <c r="I241" s="1"/>
    </row>
    <row r="242" spans="8:9" x14ac:dyDescent="0.3">
      <c r="H242" s="1"/>
      <c r="I242" s="1"/>
    </row>
    <row r="243" spans="8:9" x14ac:dyDescent="0.3">
      <c r="H243" s="1"/>
      <c r="I243" s="1"/>
    </row>
    <row r="244" spans="8:9" x14ac:dyDescent="0.3">
      <c r="H244" s="1"/>
      <c r="I244" s="1"/>
    </row>
    <row r="245" spans="8:9" x14ac:dyDescent="0.3">
      <c r="H245" s="1"/>
      <c r="I245" s="1"/>
    </row>
    <row r="246" spans="8:9" x14ac:dyDescent="0.3">
      <c r="H246" s="1"/>
      <c r="I246" s="1"/>
    </row>
    <row r="247" spans="8:9" x14ac:dyDescent="0.3">
      <c r="H247" s="1"/>
      <c r="I247" s="1"/>
    </row>
    <row r="248" spans="8:9" x14ac:dyDescent="0.3">
      <c r="H248" s="1"/>
      <c r="I248" s="1"/>
    </row>
    <row r="249" spans="8:9" x14ac:dyDescent="0.3">
      <c r="H249" s="1"/>
      <c r="I249" s="1"/>
    </row>
    <row r="250" spans="8:9" x14ac:dyDescent="0.3">
      <c r="H250" s="1"/>
      <c r="I250" s="1"/>
    </row>
    <row r="251" spans="8:9" x14ac:dyDescent="0.3">
      <c r="H251" s="1"/>
      <c r="I251" s="1"/>
    </row>
    <row r="252" spans="8:9" x14ac:dyDescent="0.3">
      <c r="H252" s="1"/>
      <c r="I252" s="1"/>
    </row>
    <row r="253" spans="8:9" x14ac:dyDescent="0.3">
      <c r="H253" s="1"/>
      <c r="I253" s="1"/>
    </row>
    <row r="254" spans="8:9" x14ac:dyDescent="0.3">
      <c r="H254" s="1"/>
      <c r="I254" s="1"/>
    </row>
    <row r="255" spans="8:9" x14ac:dyDescent="0.3">
      <c r="H255" s="1"/>
      <c r="I255" s="1"/>
    </row>
    <row r="256" spans="8:9" x14ac:dyDescent="0.3">
      <c r="H256" s="1"/>
      <c r="I256" s="1"/>
    </row>
    <row r="257" spans="8:9" x14ac:dyDescent="0.3">
      <c r="H257" s="1"/>
      <c r="I257" s="1"/>
    </row>
    <row r="258" spans="8:9" x14ac:dyDescent="0.3">
      <c r="H258" s="1"/>
      <c r="I258" s="1"/>
    </row>
    <row r="259" spans="8:9" x14ac:dyDescent="0.3">
      <c r="H259" s="1"/>
      <c r="I259" s="1"/>
    </row>
    <row r="260" spans="8:9" x14ac:dyDescent="0.3">
      <c r="H260" s="1"/>
      <c r="I260" s="1"/>
    </row>
    <row r="261" spans="8:9" x14ac:dyDescent="0.3">
      <c r="H261" s="1"/>
      <c r="I261" s="1"/>
    </row>
    <row r="262" spans="8:9" x14ac:dyDescent="0.3">
      <c r="H262" s="1"/>
      <c r="I262" s="1"/>
    </row>
    <row r="263" spans="8:9" x14ac:dyDescent="0.3">
      <c r="H263" s="1"/>
      <c r="I263" s="1"/>
    </row>
    <row r="264" spans="8:9" x14ac:dyDescent="0.3">
      <c r="H264" s="1"/>
      <c r="I264" s="1"/>
    </row>
    <row r="265" spans="8:9" x14ac:dyDescent="0.3">
      <c r="H265" s="1"/>
      <c r="I265" s="1"/>
    </row>
    <row r="266" spans="8:9" x14ac:dyDescent="0.3">
      <c r="H266" s="1"/>
      <c r="I266" s="1"/>
    </row>
    <row r="267" spans="8:9" x14ac:dyDescent="0.3">
      <c r="H267" s="1"/>
      <c r="I267" s="1"/>
    </row>
    <row r="268" spans="8:9" x14ac:dyDescent="0.3">
      <c r="H268" s="1"/>
      <c r="I268" s="1"/>
    </row>
    <row r="269" spans="8:9" x14ac:dyDescent="0.3">
      <c r="H269" s="1"/>
      <c r="I269" s="1"/>
    </row>
    <row r="270" spans="8:9" x14ac:dyDescent="0.3">
      <c r="H270" s="1"/>
      <c r="I270" s="1"/>
    </row>
    <row r="271" spans="8:9" x14ac:dyDescent="0.3">
      <c r="H271" s="1"/>
      <c r="I271" s="1"/>
    </row>
    <row r="272" spans="8:9" x14ac:dyDescent="0.3">
      <c r="H272" s="1"/>
      <c r="I272" s="1"/>
    </row>
    <row r="273" spans="8:9" x14ac:dyDescent="0.3">
      <c r="H273" s="1"/>
      <c r="I273" s="1"/>
    </row>
    <row r="274" spans="8:9" x14ac:dyDescent="0.3">
      <c r="H274" s="1"/>
      <c r="I274" s="1"/>
    </row>
    <row r="275" spans="8:9" x14ac:dyDescent="0.3">
      <c r="H275" s="1"/>
      <c r="I275" s="1"/>
    </row>
    <row r="276" spans="8:9" x14ac:dyDescent="0.3">
      <c r="H276" s="1"/>
      <c r="I276" s="1"/>
    </row>
    <row r="277" spans="8:9" x14ac:dyDescent="0.3">
      <c r="H277" s="1"/>
      <c r="I277" s="1"/>
    </row>
    <row r="278" spans="8:9" x14ac:dyDescent="0.3">
      <c r="H278" s="1"/>
      <c r="I278" s="1"/>
    </row>
    <row r="279" spans="8:9" x14ac:dyDescent="0.3">
      <c r="H279" s="1"/>
      <c r="I279" s="1"/>
    </row>
    <row r="280" spans="8:9" x14ac:dyDescent="0.3">
      <c r="H280" s="1"/>
      <c r="I280" s="1"/>
    </row>
    <row r="281" spans="8:9" x14ac:dyDescent="0.3">
      <c r="H281" s="1"/>
      <c r="I281" s="1"/>
    </row>
    <row r="282" spans="8:9" x14ac:dyDescent="0.3">
      <c r="H282" s="1"/>
      <c r="I282" s="1"/>
    </row>
    <row r="283" spans="8:9" x14ac:dyDescent="0.3">
      <c r="H283" s="1"/>
      <c r="I283" s="1"/>
    </row>
    <row r="284" spans="8:9" x14ac:dyDescent="0.3">
      <c r="H284" s="1"/>
      <c r="I284" s="1"/>
    </row>
    <row r="285" spans="8:9" x14ac:dyDescent="0.3">
      <c r="H285" s="1"/>
      <c r="I285" s="1"/>
    </row>
    <row r="286" spans="8:9" x14ac:dyDescent="0.3">
      <c r="H286" s="1"/>
      <c r="I286" s="1"/>
    </row>
    <row r="287" spans="8:9" x14ac:dyDescent="0.3">
      <c r="H287" s="1"/>
      <c r="I287" s="1"/>
    </row>
    <row r="288" spans="8:9" x14ac:dyDescent="0.3">
      <c r="H288" s="1"/>
      <c r="I288" s="1"/>
    </row>
    <row r="289" spans="8:9" x14ac:dyDescent="0.3">
      <c r="H289" s="1"/>
      <c r="I289" s="1"/>
    </row>
    <row r="290" spans="8:9" x14ac:dyDescent="0.3">
      <c r="H290" s="1"/>
      <c r="I290" s="1"/>
    </row>
    <row r="291" spans="8:9" x14ac:dyDescent="0.3">
      <c r="H291" s="1"/>
      <c r="I291" s="1"/>
    </row>
    <row r="292" spans="8:9" x14ac:dyDescent="0.3">
      <c r="H292" s="1"/>
      <c r="I292" s="1"/>
    </row>
    <row r="293" spans="8:9" x14ac:dyDescent="0.3">
      <c r="H293" s="1"/>
      <c r="I293" s="1"/>
    </row>
    <row r="294" spans="8:9" x14ac:dyDescent="0.3">
      <c r="H294" s="1"/>
      <c r="I294" s="1"/>
    </row>
    <row r="295" spans="8:9" x14ac:dyDescent="0.3">
      <c r="H295" s="1"/>
      <c r="I295" s="1"/>
    </row>
    <row r="296" spans="8:9" x14ac:dyDescent="0.3">
      <c r="H296" s="1"/>
      <c r="I296" s="1"/>
    </row>
    <row r="297" spans="8:9" x14ac:dyDescent="0.3">
      <c r="H297" s="1"/>
      <c r="I297" s="1"/>
    </row>
    <row r="298" spans="8:9" x14ac:dyDescent="0.3">
      <c r="H298" s="1"/>
      <c r="I298" s="1"/>
    </row>
    <row r="299" spans="8:9" x14ac:dyDescent="0.3">
      <c r="H299" s="1"/>
      <c r="I299" s="1"/>
    </row>
    <row r="300" spans="8:9" x14ac:dyDescent="0.3">
      <c r="H300" s="1"/>
      <c r="I300" s="1"/>
    </row>
    <row r="301" spans="8:9" x14ac:dyDescent="0.3">
      <c r="H301" s="1"/>
      <c r="I301" s="1"/>
    </row>
    <row r="302" spans="8:9" x14ac:dyDescent="0.3">
      <c r="H302" s="1"/>
      <c r="I302" s="1"/>
    </row>
    <row r="303" spans="8:9" x14ac:dyDescent="0.3">
      <c r="H303" s="1"/>
      <c r="I303" s="1"/>
    </row>
    <row r="304" spans="8:9" x14ac:dyDescent="0.3">
      <c r="H304" s="1"/>
      <c r="I304" s="1"/>
    </row>
    <row r="305" spans="8:9" x14ac:dyDescent="0.3">
      <c r="H305" s="1"/>
      <c r="I305" s="1"/>
    </row>
    <row r="306" spans="8:9" x14ac:dyDescent="0.3">
      <c r="H306" s="1"/>
      <c r="I306" s="1"/>
    </row>
    <row r="307" spans="8:9" x14ac:dyDescent="0.3">
      <c r="H307" s="1"/>
      <c r="I307" s="1"/>
    </row>
    <row r="308" spans="8:9" x14ac:dyDescent="0.3">
      <c r="H308" s="1"/>
      <c r="I308" s="1"/>
    </row>
    <row r="309" spans="8:9" x14ac:dyDescent="0.3">
      <c r="H309" s="1"/>
      <c r="I309" s="1"/>
    </row>
    <row r="310" spans="8:9" x14ac:dyDescent="0.3">
      <c r="H310" s="1"/>
      <c r="I310" s="1"/>
    </row>
    <row r="311" spans="8:9" x14ac:dyDescent="0.3">
      <c r="H311" s="1"/>
      <c r="I311" s="1"/>
    </row>
    <row r="312" spans="8:9" x14ac:dyDescent="0.3">
      <c r="H312" s="1"/>
      <c r="I312" s="1"/>
    </row>
    <row r="313" spans="8:9" x14ac:dyDescent="0.3">
      <c r="H313" s="1"/>
      <c r="I313" s="1"/>
    </row>
    <row r="314" spans="8:9" x14ac:dyDescent="0.3">
      <c r="H314" s="1"/>
      <c r="I314" s="1"/>
    </row>
    <row r="315" spans="8:9" x14ac:dyDescent="0.3">
      <c r="H315" s="1"/>
      <c r="I315" s="1"/>
    </row>
    <row r="316" spans="8:9" x14ac:dyDescent="0.3">
      <c r="H316" s="1"/>
      <c r="I316" s="1"/>
    </row>
    <row r="317" spans="8:9" x14ac:dyDescent="0.3">
      <c r="H317" s="1"/>
      <c r="I317" s="1"/>
    </row>
    <row r="318" spans="8:9" x14ac:dyDescent="0.3">
      <c r="H318" s="1"/>
      <c r="I318" s="1"/>
    </row>
    <row r="319" spans="8:9" x14ac:dyDescent="0.3">
      <c r="H319" s="1"/>
      <c r="I319" s="1"/>
    </row>
    <row r="320" spans="8:9" x14ac:dyDescent="0.3">
      <c r="H320" s="1"/>
      <c r="I320" s="1"/>
    </row>
    <row r="321" spans="8:9" x14ac:dyDescent="0.3">
      <c r="H321" s="1"/>
      <c r="I321" s="1"/>
    </row>
    <row r="322" spans="8:9" x14ac:dyDescent="0.3">
      <c r="H322" s="1"/>
      <c r="I322" s="1"/>
    </row>
    <row r="323" spans="8:9" x14ac:dyDescent="0.3">
      <c r="H323" s="1"/>
      <c r="I323" s="1"/>
    </row>
    <row r="324" spans="8:9" x14ac:dyDescent="0.3">
      <c r="H324" s="1"/>
      <c r="I324" s="1"/>
    </row>
    <row r="325" spans="8:9" x14ac:dyDescent="0.3">
      <c r="H325" s="1"/>
      <c r="I325" s="1"/>
    </row>
    <row r="326" spans="8:9" x14ac:dyDescent="0.3">
      <c r="H326" s="1"/>
      <c r="I326" s="1"/>
    </row>
    <row r="327" spans="8:9" x14ac:dyDescent="0.3">
      <c r="H327" s="1"/>
      <c r="I327" s="1"/>
    </row>
    <row r="328" spans="8:9" x14ac:dyDescent="0.3">
      <c r="H328" s="1"/>
      <c r="I328" s="1"/>
    </row>
    <row r="329" spans="8:9" x14ac:dyDescent="0.3">
      <c r="H329" s="1"/>
      <c r="I329" s="1"/>
    </row>
    <row r="330" spans="8:9" x14ac:dyDescent="0.3">
      <c r="H330" s="1"/>
      <c r="I330" s="1"/>
    </row>
    <row r="331" spans="8:9" x14ac:dyDescent="0.3">
      <c r="H331" s="1"/>
      <c r="I331" s="1"/>
    </row>
    <row r="332" spans="8:9" x14ac:dyDescent="0.3">
      <c r="H332" s="1"/>
      <c r="I332" s="1"/>
    </row>
    <row r="333" spans="8:9" x14ac:dyDescent="0.3">
      <c r="H333" s="1"/>
      <c r="I333" s="1"/>
    </row>
    <row r="334" spans="8:9" x14ac:dyDescent="0.3">
      <c r="H334" s="1"/>
      <c r="I334" s="1"/>
    </row>
    <row r="335" spans="8:9" x14ac:dyDescent="0.3">
      <c r="H335" s="1"/>
      <c r="I335" s="1"/>
    </row>
    <row r="336" spans="8:9" x14ac:dyDescent="0.3">
      <c r="H336" s="1"/>
      <c r="I336" s="1"/>
    </row>
    <row r="337" spans="8:9" x14ac:dyDescent="0.3">
      <c r="H337" s="1"/>
      <c r="I337" s="1"/>
    </row>
    <row r="338" spans="8:9" x14ac:dyDescent="0.3">
      <c r="H338" s="1"/>
      <c r="I338" s="1"/>
    </row>
    <row r="339" spans="8:9" x14ac:dyDescent="0.3">
      <c r="H339" s="1"/>
      <c r="I339" s="1"/>
    </row>
    <row r="340" spans="8:9" x14ac:dyDescent="0.3">
      <c r="H340" s="1"/>
      <c r="I340" s="1"/>
    </row>
    <row r="341" spans="8:9" x14ac:dyDescent="0.3">
      <c r="H341" s="1"/>
      <c r="I341" s="1"/>
    </row>
    <row r="342" spans="8:9" x14ac:dyDescent="0.3">
      <c r="H342" s="1"/>
      <c r="I342" s="1"/>
    </row>
    <row r="343" spans="8:9" x14ac:dyDescent="0.3">
      <c r="H343" s="1"/>
      <c r="I343" s="1"/>
    </row>
    <row r="344" spans="8:9" x14ac:dyDescent="0.3">
      <c r="H344" s="1"/>
      <c r="I344" s="1"/>
    </row>
    <row r="345" spans="8:9" x14ac:dyDescent="0.3">
      <c r="H345" s="1"/>
      <c r="I345" s="1"/>
    </row>
    <row r="346" spans="8:9" x14ac:dyDescent="0.3">
      <c r="H346" s="1"/>
      <c r="I346" s="1"/>
    </row>
    <row r="347" spans="8:9" x14ac:dyDescent="0.3">
      <c r="H347" s="1"/>
      <c r="I347" s="1"/>
    </row>
    <row r="348" spans="8:9" x14ac:dyDescent="0.3">
      <c r="H348" s="1"/>
      <c r="I348" s="1"/>
    </row>
    <row r="349" spans="8:9" x14ac:dyDescent="0.3">
      <c r="H349" s="1"/>
      <c r="I349" s="1"/>
    </row>
    <row r="350" spans="8:9" x14ac:dyDescent="0.3">
      <c r="H350" s="1"/>
      <c r="I350" s="1"/>
    </row>
    <row r="351" spans="8:9" x14ac:dyDescent="0.3">
      <c r="H351" s="1"/>
      <c r="I351" s="1"/>
    </row>
    <row r="352" spans="8:9" x14ac:dyDescent="0.3">
      <c r="H352" s="1"/>
      <c r="I352" s="1"/>
    </row>
    <row r="353" spans="8:9" x14ac:dyDescent="0.3">
      <c r="H353" s="1"/>
      <c r="I353" s="1"/>
    </row>
    <row r="354" spans="8:9" x14ac:dyDescent="0.3">
      <c r="H354" s="1"/>
      <c r="I354" s="1"/>
    </row>
    <row r="355" spans="8:9" x14ac:dyDescent="0.3">
      <c r="H355" s="1"/>
      <c r="I355" s="1"/>
    </row>
    <row r="356" spans="8:9" x14ac:dyDescent="0.3">
      <c r="H356" s="1"/>
      <c r="I356" s="1"/>
    </row>
    <row r="357" spans="8:9" x14ac:dyDescent="0.3">
      <c r="H357" s="1"/>
      <c r="I357" s="1"/>
    </row>
    <row r="358" spans="8:9" x14ac:dyDescent="0.3">
      <c r="H358" s="1"/>
      <c r="I358" s="1"/>
    </row>
    <row r="359" spans="8:9" x14ac:dyDescent="0.3">
      <c r="H359" s="1"/>
      <c r="I359" s="1"/>
    </row>
    <row r="360" spans="8:9" x14ac:dyDescent="0.3">
      <c r="H360" s="1"/>
      <c r="I360" s="1"/>
    </row>
    <row r="361" spans="8:9" x14ac:dyDescent="0.3">
      <c r="H361" s="1"/>
      <c r="I361" s="1"/>
    </row>
    <row r="362" spans="8:9" x14ac:dyDescent="0.3">
      <c r="H362" s="1"/>
      <c r="I362" s="1"/>
    </row>
    <row r="363" spans="8:9" x14ac:dyDescent="0.3">
      <c r="H363" s="1"/>
      <c r="I363" s="1"/>
    </row>
    <row r="364" spans="8:9" x14ac:dyDescent="0.3">
      <c r="H364" s="1"/>
      <c r="I364" s="1"/>
    </row>
    <row r="365" spans="8:9" x14ac:dyDescent="0.3">
      <c r="H365" s="1"/>
      <c r="I365" s="1"/>
    </row>
    <row r="366" spans="8:9" x14ac:dyDescent="0.3">
      <c r="H366" s="1"/>
      <c r="I366" s="1"/>
    </row>
    <row r="367" spans="8:9" x14ac:dyDescent="0.3">
      <c r="H367" s="1"/>
      <c r="I367" s="1"/>
    </row>
    <row r="368" spans="8:9" x14ac:dyDescent="0.3">
      <c r="H368" s="1"/>
      <c r="I368" s="1"/>
    </row>
    <row r="369" spans="8:9" x14ac:dyDescent="0.3">
      <c r="H369" s="1"/>
      <c r="I369" s="1"/>
    </row>
    <row r="370" spans="8:9" x14ac:dyDescent="0.3">
      <c r="H370" s="1"/>
      <c r="I370" s="1"/>
    </row>
    <row r="371" spans="8:9" x14ac:dyDescent="0.3">
      <c r="H371" s="1"/>
      <c r="I371" s="1"/>
    </row>
    <row r="372" spans="8:9" x14ac:dyDescent="0.3">
      <c r="H372" s="1"/>
      <c r="I372" s="1"/>
    </row>
    <row r="373" spans="8:9" x14ac:dyDescent="0.3">
      <c r="H373" s="1"/>
      <c r="I373" s="1"/>
    </row>
    <row r="374" spans="8:9" x14ac:dyDescent="0.3">
      <c r="H374" s="1"/>
      <c r="I374" s="1"/>
    </row>
    <row r="375" spans="8:9" x14ac:dyDescent="0.3">
      <c r="H375" s="1"/>
      <c r="I375" s="1"/>
    </row>
    <row r="376" spans="8:9" x14ac:dyDescent="0.3">
      <c r="H376" s="1"/>
      <c r="I376" s="1"/>
    </row>
    <row r="377" spans="8:9" x14ac:dyDescent="0.3">
      <c r="H377" s="1"/>
      <c r="I377" s="1"/>
    </row>
    <row r="378" spans="8:9" x14ac:dyDescent="0.3">
      <c r="H378" s="1"/>
      <c r="I378" s="1"/>
    </row>
    <row r="379" spans="8:9" x14ac:dyDescent="0.3">
      <c r="H379" s="1"/>
      <c r="I379" s="1"/>
    </row>
    <row r="380" spans="8:9" x14ac:dyDescent="0.3">
      <c r="H380" s="1"/>
      <c r="I380" s="1"/>
    </row>
    <row r="381" spans="8:9" x14ac:dyDescent="0.3">
      <c r="H381" s="1"/>
      <c r="I381" s="1"/>
    </row>
    <row r="382" spans="8:9" x14ac:dyDescent="0.3">
      <c r="H382" s="1"/>
      <c r="I382" s="1"/>
    </row>
    <row r="383" spans="8:9" x14ac:dyDescent="0.3">
      <c r="H383" s="1"/>
      <c r="I383" s="1"/>
    </row>
    <row r="384" spans="8:9" x14ac:dyDescent="0.3">
      <c r="H384" s="1"/>
      <c r="I384" s="1"/>
    </row>
    <row r="385" spans="8:9" x14ac:dyDescent="0.3">
      <c r="H385" s="1"/>
      <c r="I385" s="1"/>
    </row>
    <row r="386" spans="8:9" x14ac:dyDescent="0.3">
      <c r="H386" s="1"/>
      <c r="I386" s="1"/>
    </row>
    <row r="387" spans="8:9" x14ac:dyDescent="0.3">
      <c r="H387" s="1"/>
      <c r="I387" s="1"/>
    </row>
    <row r="388" spans="8:9" x14ac:dyDescent="0.3">
      <c r="H388" s="1"/>
      <c r="I388" s="1"/>
    </row>
    <row r="389" spans="8:9" x14ac:dyDescent="0.3">
      <c r="H389" s="1"/>
      <c r="I389" s="1"/>
    </row>
    <row r="390" spans="8:9" x14ac:dyDescent="0.3">
      <c r="H390" s="1"/>
      <c r="I390" s="1"/>
    </row>
    <row r="391" spans="8:9" x14ac:dyDescent="0.3">
      <c r="H391" s="1"/>
      <c r="I391" s="1"/>
    </row>
    <row r="392" spans="8:9" x14ac:dyDescent="0.3">
      <c r="H392" s="1"/>
      <c r="I392" s="1"/>
    </row>
    <row r="393" spans="8:9" x14ac:dyDescent="0.3">
      <c r="H393" s="1"/>
      <c r="I393" s="1"/>
    </row>
    <row r="394" spans="8:9" x14ac:dyDescent="0.3">
      <c r="H394" s="1"/>
      <c r="I394" s="1"/>
    </row>
    <row r="395" spans="8:9" x14ac:dyDescent="0.3">
      <c r="H395" s="1"/>
      <c r="I395" s="1"/>
    </row>
    <row r="396" spans="8:9" x14ac:dyDescent="0.3">
      <c r="H396" s="1"/>
      <c r="I396" s="1"/>
    </row>
    <row r="397" spans="8:9" x14ac:dyDescent="0.3">
      <c r="H397" s="1"/>
      <c r="I397" s="1"/>
    </row>
    <row r="398" spans="8:9" x14ac:dyDescent="0.3">
      <c r="H398" s="1"/>
      <c r="I398" s="1"/>
    </row>
    <row r="399" spans="8:9" x14ac:dyDescent="0.3">
      <c r="H399" s="1"/>
      <c r="I399" s="1"/>
    </row>
    <row r="400" spans="8:9" x14ac:dyDescent="0.3">
      <c r="H400" s="1"/>
      <c r="I400" s="1"/>
    </row>
    <row r="401" spans="8:9" x14ac:dyDescent="0.3">
      <c r="H401" s="1"/>
      <c r="I401" s="1"/>
    </row>
    <row r="402" spans="8:9" x14ac:dyDescent="0.3">
      <c r="H402" s="1"/>
      <c r="I402" s="1"/>
    </row>
    <row r="403" spans="8:9" x14ac:dyDescent="0.3">
      <c r="H403" s="1"/>
      <c r="I403" s="1"/>
    </row>
    <row r="404" spans="8:9" x14ac:dyDescent="0.3">
      <c r="H404" s="1"/>
      <c r="I404" s="1"/>
    </row>
    <row r="405" spans="8:9" x14ac:dyDescent="0.3">
      <c r="H405" s="1"/>
      <c r="I405" s="1"/>
    </row>
    <row r="406" spans="8:9" x14ac:dyDescent="0.3">
      <c r="H406" s="1"/>
      <c r="I406" s="1"/>
    </row>
    <row r="407" spans="8:9" x14ac:dyDescent="0.3">
      <c r="H407" s="1"/>
      <c r="I407" s="1"/>
    </row>
    <row r="408" spans="8:9" x14ac:dyDescent="0.3">
      <c r="H408" s="1"/>
      <c r="I408" s="1"/>
    </row>
    <row r="409" spans="8:9" x14ac:dyDescent="0.3">
      <c r="H409" s="1"/>
      <c r="I409" s="1"/>
    </row>
    <row r="410" spans="8:9" x14ac:dyDescent="0.3">
      <c r="H410" s="1"/>
      <c r="I410" s="1"/>
    </row>
    <row r="411" spans="8:9" x14ac:dyDescent="0.3">
      <c r="H411" s="1"/>
      <c r="I411" s="1"/>
    </row>
    <row r="412" spans="8:9" x14ac:dyDescent="0.3">
      <c r="H412" s="1"/>
      <c r="I412" s="1"/>
    </row>
    <row r="413" spans="8:9" x14ac:dyDescent="0.3">
      <c r="H413" s="1"/>
      <c r="I413" s="1"/>
    </row>
    <row r="414" spans="8:9" x14ac:dyDescent="0.3">
      <c r="H414" s="1"/>
      <c r="I414" s="1"/>
    </row>
    <row r="415" spans="8:9" x14ac:dyDescent="0.3">
      <c r="H415" s="1"/>
      <c r="I415" s="1"/>
    </row>
    <row r="416" spans="8:9" x14ac:dyDescent="0.3">
      <c r="H416" s="1"/>
      <c r="I416" s="1"/>
    </row>
    <row r="417" spans="8:9" x14ac:dyDescent="0.3">
      <c r="H417" s="1"/>
      <c r="I417" s="1"/>
    </row>
    <row r="418" spans="8:9" x14ac:dyDescent="0.3">
      <c r="H418" s="1"/>
      <c r="I418" s="1"/>
    </row>
    <row r="419" spans="8:9" x14ac:dyDescent="0.3">
      <c r="H419" s="1"/>
      <c r="I419" s="1"/>
    </row>
    <row r="420" spans="8:9" x14ac:dyDescent="0.3">
      <c r="H420" s="1"/>
      <c r="I420" s="1"/>
    </row>
    <row r="421" spans="8:9" x14ac:dyDescent="0.3">
      <c r="H421" s="1"/>
      <c r="I421" s="1"/>
    </row>
    <row r="422" spans="8:9" x14ac:dyDescent="0.3">
      <c r="H422" s="1"/>
      <c r="I422" s="1"/>
    </row>
    <row r="423" spans="8:9" x14ac:dyDescent="0.3">
      <c r="H423" s="1"/>
      <c r="I423" s="1"/>
    </row>
    <row r="424" spans="8:9" x14ac:dyDescent="0.3">
      <c r="H424" s="1"/>
      <c r="I424" s="1"/>
    </row>
    <row r="425" spans="8:9" x14ac:dyDescent="0.3">
      <c r="H425" s="1"/>
      <c r="I425" s="1"/>
    </row>
    <row r="426" spans="8:9" x14ac:dyDescent="0.3">
      <c r="H426" s="1"/>
      <c r="I426" s="1"/>
    </row>
    <row r="427" spans="8:9" x14ac:dyDescent="0.3">
      <c r="H427" s="1"/>
      <c r="I427" s="1"/>
    </row>
    <row r="428" spans="8:9" x14ac:dyDescent="0.3">
      <c r="H428" s="1"/>
      <c r="I428" s="1"/>
    </row>
    <row r="429" spans="8:9" x14ac:dyDescent="0.3">
      <c r="H429" s="1"/>
      <c r="I429" s="1"/>
    </row>
    <row r="430" spans="8:9" x14ac:dyDescent="0.3">
      <c r="H430" s="1"/>
      <c r="I430" s="1"/>
    </row>
    <row r="431" spans="8:9" x14ac:dyDescent="0.3">
      <c r="H431" s="1"/>
      <c r="I431" s="1"/>
    </row>
    <row r="432" spans="8:9" x14ac:dyDescent="0.3">
      <c r="H432" s="1"/>
      <c r="I432" s="1"/>
    </row>
    <row r="433" spans="8:9" x14ac:dyDescent="0.3">
      <c r="H433" s="1"/>
      <c r="I433" s="1"/>
    </row>
    <row r="434" spans="8:9" x14ac:dyDescent="0.3">
      <c r="H434" s="1"/>
      <c r="I434" s="1"/>
    </row>
    <row r="435" spans="8:9" x14ac:dyDescent="0.3">
      <c r="H435" s="1"/>
      <c r="I435" s="1"/>
    </row>
    <row r="436" spans="8:9" x14ac:dyDescent="0.3">
      <c r="H436" s="1"/>
      <c r="I436" s="1"/>
    </row>
    <row r="437" spans="8:9" x14ac:dyDescent="0.3">
      <c r="H437" s="1"/>
      <c r="I437" s="1"/>
    </row>
    <row r="438" spans="8:9" x14ac:dyDescent="0.3">
      <c r="H438" s="1"/>
      <c r="I438" s="1"/>
    </row>
    <row r="439" spans="8:9" x14ac:dyDescent="0.3">
      <c r="H439" s="1"/>
      <c r="I439" s="1"/>
    </row>
    <row r="440" spans="8:9" x14ac:dyDescent="0.3">
      <c r="H440" s="1"/>
      <c r="I440" s="1"/>
    </row>
    <row r="441" spans="8:9" x14ac:dyDescent="0.3">
      <c r="H441" s="1"/>
      <c r="I441" s="1"/>
    </row>
    <row r="442" spans="8:9" x14ac:dyDescent="0.3">
      <c r="H442" s="1"/>
      <c r="I442" s="1"/>
    </row>
    <row r="443" spans="8:9" x14ac:dyDescent="0.3">
      <c r="H443" s="1"/>
      <c r="I443" s="1"/>
    </row>
    <row r="444" spans="8:9" x14ac:dyDescent="0.3">
      <c r="H444" s="1"/>
      <c r="I444" s="1"/>
    </row>
    <row r="445" spans="8:9" x14ac:dyDescent="0.3">
      <c r="H445" s="1"/>
      <c r="I445" s="1"/>
    </row>
    <row r="446" spans="8:9" x14ac:dyDescent="0.3">
      <c r="H446" s="1"/>
      <c r="I446" s="1"/>
    </row>
    <row r="447" spans="8:9" x14ac:dyDescent="0.3">
      <c r="H447" s="1"/>
      <c r="I447" s="1"/>
    </row>
    <row r="448" spans="8:9" x14ac:dyDescent="0.3">
      <c r="H448" s="1"/>
      <c r="I448" s="1"/>
    </row>
    <row r="449" spans="8:9" x14ac:dyDescent="0.3">
      <c r="H449" s="1"/>
      <c r="I449" s="1"/>
    </row>
    <row r="450" spans="8:9" x14ac:dyDescent="0.3">
      <c r="H450" s="1"/>
      <c r="I450" s="1"/>
    </row>
    <row r="451" spans="8:9" x14ac:dyDescent="0.3">
      <c r="H451" s="1"/>
      <c r="I451" s="1"/>
    </row>
    <row r="452" spans="8:9" x14ac:dyDescent="0.3">
      <c r="H452" s="1"/>
      <c r="I452" s="1"/>
    </row>
    <row r="453" spans="8:9" x14ac:dyDescent="0.3">
      <c r="H453" s="1"/>
      <c r="I453" s="1"/>
    </row>
    <row r="454" spans="8:9" x14ac:dyDescent="0.3">
      <c r="H454" s="1"/>
      <c r="I454" s="1"/>
    </row>
    <row r="455" spans="8:9" x14ac:dyDescent="0.3">
      <c r="H455" s="1"/>
      <c r="I455" s="1"/>
    </row>
    <row r="456" spans="8:9" x14ac:dyDescent="0.3">
      <c r="H456" s="1"/>
      <c r="I456" s="1"/>
    </row>
    <row r="457" spans="8:9" x14ac:dyDescent="0.3">
      <c r="H457" s="1"/>
      <c r="I457" s="1"/>
    </row>
    <row r="458" spans="8:9" x14ac:dyDescent="0.3">
      <c r="H458" s="1"/>
      <c r="I458" s="1"/>
    </row>
    <row r="459" spans="8:9" x14ac:dyDescent="0.3">
      <c r="H459" s="1"/>
      <c r="I459" s="1"/>
    </row>
    <row r="460" spans="8:9" x14ac:dyDescent="0.3">
      <c r="H460" s="1"/>
      <c r="I460" s="1"/>
    </row>
    <row r="461" spans="8:9" x14ac:dyDescent="0.3">
      <c r="H461" s="1"/>
      <c r="I461" s="1"/>
    </row>
    <row r="462" spans="8:9" x14ac:dyDescent="0.3">
      <c r="H462" s="1"/>
      <c r="I462" s="1"/>
    </row>
    <row r="463" spans="8:9" x14ac:dyDescent="0.3">
      <c r="H463" s="1"/>
      <c r="I463" s="1"/>
    </row>
    <row r="464" spans="8:9" x14ac:dyDescent="0.3">
      <c r="H464" s="1"/>
      <c r="I464" s="1"/>
    </row>
    <row r="465" spans="8:9" x14ac:dyDescent="0.3">
      <c r="H465" s="1"/>
      <c r="I465" s="1"/>
    </row>
    <row r="466" spans="8:9" x14ac:dyDescent="0.3">
      <c r="H466" s="1"/>
      <c r="I466" s="1"/>
    </row>
    <row r="467" spans="8:9" x14ac:dyDescent="0.3">
      <c r="H467" s="1"/>
      <c r="I467" s="1"/>
    </row>
    <row r="468" spans="8:9" x14ac:dyDescent="0.3">
      <c r="H468" s="1"/>
      <c r="I468" s="1"/>
    </row>
    <row r="469" spans="8:9" x14ac:dyDescent="0.3">
      <c r="H469" s="1"/>
      <c r="I469" s="1"/>
    </row>
    <row r="470" spans="8:9" x14ac:dyDescent="0.3">
      <c r="H470" s="1"/>
      <c r="I470" s="1"/>
    </row>
    <row r="471" spans="8:9" x14ac:dyDescent="0.3">
      <c r="H471" s="1"/>
      <c r="I471" s="1"/>
    </row>
    <row r="472" spans="8:9" x14ac:dyDescent="0.3">
      <c r="H472" s="1"/>
      <c r="I472" s="1"/>
    </row>
    <row r="473" spans="8:9" x14ac:dyDescent="0.3">
      <c r="H473" s="1"/>
      <c r="I473" s="1"/>
    </row>
    <row r="474" spans="8:9" x14ac:dyDescent="0.3">
      <c r="H474" s="1"/>
      <c r="I474" s="1"/>
    </row>
    <row r="475" spans="8:9" x14ac:dyDescent="0.3">
      <c r="H475" s="1"/>
      <c r="I475" s="1"/>
    </row>
    <row r="476" spans="8:9" x14ac:dyDescent="0.3">
      <c r="H476" s="1"/>
      <c r="I476" s="1"/>
    </row>
    <row r="477" spans="8:9" x14ac:dyDescent="0.3">
      <c r="H477" s="1"/>
      <c r="I477" s="1"/>
    </row>
    <row r="478" spans="8:9" x14ac:dyDescent="0.3">
      <c r="H478" s="1"/>
      <c r="I478" s="1"/>
    </row>
    <row r="479" spans="8:9" x14ac:dyDescent="0.3">
      <c r="H479" s="1"/>
      <c r="I479" s="1"/>
    </row>
    <row r="480" spans="8:9" x14ac:dyDescent="0.3">
      <c r="H480" s="1"/>
      <c r="I480" s="1"/>
    </row>
    <row r="481" spans="8:9" x14ac:dyDescent="0.3">
      <c r="H481" s="1"/>
      <c r="I481" s="1"/>
    </row>
    <row r="482" spans="8:9" x14ac:dyDescent="0.3">
      <c r="H482" s="1"/>
      <c r="I482" s="1"/>
    </row>
    <row r="483" spans="8:9" x14ac:dyDescent="0.3">
      <c r="H483" s="1"/>
      <c r="I483" s="1"/>
    </row>
    <row r="484" spans="8:9" x14ac:dyDescent="0.3">
      <c r="H484" s="1"/>
      <c r="I484" s="1"/>
    </row>
    <row r="485" spans="8:9" x14ac:dyDescent="0.3">
      <c r="H485" s="1"/>
      <c r="I485" s="1"/>
    </row>
    <row r="486" spans="8:9" x14ac:dyDescent="0.3">
      <c r="H486" s="1"/>
      <c r="I486" s="1"/>
    </row>
    <row r="487" spans="8:9" x14ac:dyDescent="0.3">
      <c r="H487" s="1"/>
      <c r="I487" s="1"/>
    </row>
    <row r="488" spans="8:9" x14ac:dyDescent="0.3">
      <c r="H488" s="1"/>
      <c r="I488" s="1"/>
    </row>
    <row r="489" spans="8:9" x14ac:dyDescent="0.3">
      <c r="H489" s="1"/>
      <c r="I489" s="1"/>
    </row>
    <row r="490" spans="8:9" x14ac:dyDescent="0.3">
      <c r="H490" s="1"/>
      <c r="I490" s="1"/>
    </row>
    <row r="491" spans="8:9" x14ac:dyDescent="0.3">
      <c r="H491" s="1"/>
      <c r="I491" s="1"/>
    </row>
    <row r="492" spans="8:9" x14ac:dyDescent="0.3">
      <c r="H492" s="1"/>
      <c r="I492" s="1"/>
    </row>
    <row r="493" spans="8:9" x14ac:dyDescent="0.3">
      <c r="H493" s="1"/>
      <c r="I493" s="1"/>
    </row>
    <row r="494" spans="8:9" x14ac:dyDescent="0.3">
      <c r="H494" s="1"/>
      <c r="I494" s="1"/>
    </row>
    <row r="495" spans="8:9" x14ac:dyDescent="0.3">
      <c r="H495" s="1"/>
      <c r="I495" s="1"/>
    </row>
    <row r="496" spans="8:9" x14ac:dyDescent="0.3">
      <c r="H496" s="1"/>
      <c r="I496" s="1"/>
    </row>
    <row r="497" spans="8:9" x14ac:dyDescent="0.3">
      <c r="H497" s="1"/>
      <c r="I497" s="1"/>
    </row>
    <row r="498" spans="8:9" x14ac:dyDescent="0.3">
      <c r="H498" s="1"/>
      <c r="I498" s="1"/>
    </row>
    <row r="499" spans="8:9" x14ac:dyDescent="0.3">
      <c r="H499" s="1"/>
      <c r="I499" s="1"/>
    </row>
    <row r="500" spans="8:9" x14ac:dyDescent="0.3">
      <c r="H500" s="1"/>
      <c r="I500" s="1"/>
    </row>
    <row r="501" spans="8:9" x14ac:dyDescent="0.3">
      <c r="H501" s="1"/>
      <c r="I501" s="1"/>
    </row>
    <row r="502" spans="8:9" x14ac:dyDescent="0.3">
      <c r="H502" s="1"/>
      <c r="I502" s="1"/>
    </row>
    <row r="503" spans="8:9" x14ac:dyDescent="0.3">
      <c r="H503" s="1"/>
      <c r="I503" s="1"/>
    </row>
    <row r="504" spans="8:9" x14ac:dyDescent="0.3">
      <c r="H504" s="1"/>
      <c r="I504" s="1"/>
    </row>
    <row r="505" spans="8:9" x14ac:dyDescent="0.3">
      <c r="H505" s="1"/>
      <c r="I505" s="1"/>
    </row>
    <row r="506" spans="8:9" x14ac:dyDescent="0.3">
      <c r="H506" s="1"/>
      <c r="I506" s="1"/>
    </row>
    <row r="507" spans="8:9" x14ac:dyDescent="0.3">
      <c r="H507" s="1"/>
      <c r="I507" s="1"/>
    </row>
    <row r="508" spans="8:9" x14ac:dyDescent="0.3">
      <c r="H508" s="1"/>
      <c r="I508" s="1"/>
    </row>
    <row r="509" spans="8:9" x14ac:dyDescent="0.3">
      <c r="H509" s="1"/>
      <c r="I509" s="1"/>
    </row>
    <row r="510" spans="8:9" x14ac:dyDescent="0.3">
      <c r="H510" s="1"/>
      <c r="I510" s="1"/>
    </row>
    <row r="511" spans="8:9" x14ac:dyDescent="0.3">
      <c r="H511" s="1"/>
      <c r="I511" s="1"/>
    </row>
    <row r="512" spans="8:9" x14ac:dyDescent="0.3">
      <c r="H512" s="1"/>
      <c r="I512" s="1"/>
    </row>
    <row r="513" spans="8:9" x14ac:dyDescent="0.3">
      <c r="H513" s="1"/>
      <c r="I513" s="1"/>
    </row>
    <row r="514" spans="8:9" x14ac:dyDescent="0.3">
      <c r="H514" s="1"/>
      <c r="I514" s="1"/>
    </row>
    <row r="515" spans="8:9" x14ac:dyDescent="0.3">
      <c r="H515" s="1"/>
      <c r="I515" s="1"/>
    </row>
    <row r="516" spans="8:9" x14ac:dyDescent="0.3">
      <c r="H516" s="1"/>
      <c r="I516" s="1"/>
    </row>
    <row r="517" spans="8:9" x14ac:dyDescent="0.3">
      <c r="H517" s="1"/>
      <c r="I517" s="1"/>
    </row>
    <row r="518" spans="8:9" x14ac:dyDescent="0.3">
      <c r="H518" s="1"/>
      <c r="I518" s="1"/>
    </row>
    <row r="519" spans="8:9" x14ac:dyDescent="0.3">
      <c r="H519" s="1"/>
      <c r="I519" s="1"/>
    </row>
    <row r="520" spans="8:9" x14ac:dyDescent="0.3">
      <c r="H520" s="1"/>
      <c r="I520" s="1"/>
    </row>
    <row r="521" spans="8:9" x14ac:dyDescent="0.3">
      <c r="H521" s="1"/>
      <c r="I521" s="1"/>
    </row>
    <row r="522" spans="8:9" x14ac:dyDescent="0.3">
      <c r="H522" s="1"/>
      <c r="I522" s="1"/>
    </row>
    <row r="523" spans="8:9" x14ac:dyDescent="0.3">
      <c r="H523" s="1"/>
      <c r="I523" s="1"/>
    </row>
    <row r="524" spans="8:9" x14ac:dyDescent="0.3">
      <c r="H524" s="1"/>
      <c r="I524" s="1"/>
    </row>
    <row r="525" spans="8:9" x14ac:dyDescent="0.3">
      <c r="H525" s="1"/>
      <c r="I525" s="1"/>
    </row>
    <row r="526" spans="8:9" x14ac:dyDescent="0.3">
      <c r="H526" s="1"/>
      <c r="I526" s="1"/>
    </row>
    <row r="527" spans="8:9" x14ac:dyDescent="0.3">
      <c r="H527" s="1"/>
      <c r="I527" s="1"/>
    </row>
    <row r="528" spans="8:9" x14ac:dyDescent="0.3">
      <c r="H528" s="1"/>
      <c r="I528" s="1"/>
    </row>
    <row r="529" spans="8:9" x14ac:dyDescent="0.3">
      <c r="H529" s="1"/>
      <c r="I529" s="1"/>
    </row>
    <row r="530" spans="8:9" x14ac:dyDescent="0.3">
      <c r="H530" s="1"/>
      <c r="I530" s="1"/>
    </row>
    <row r="531" spans="8:9" x14ac:dyDescent="0.3">
      <c r="H531" s="1"/>
      <c r="I531" s="1"/>
    </row>
    <row r="532" spans="8:9" x14ac:dyDescent="0.3">
      <c r="H532" s="1"/>
      <c r="I532" s="1"/>
    </row>
    <row r="533" spans="8:9" x14ac:dyDescent="0.3">
      <c r="H533" s="1"/>
      <c r="I533" s="1"/>
    </row>
    <row r="534" spans="8:9" x14ac:dyDescent="0.3">
      <c r="H534" s="1"/>
      <c r="I534" s="1"/>
    </row>
    <row r="535" spans="8:9" x14ac:dyDescent="0.3">
      <c r="H535" s="1"/>
      <c r="I535" s="1"/>
    </row>
    <row r="536" spans="8:9" x14ac:dyDescent="0.3">
      <c r="H536" s="1"/>
      <c r="I536" s="1"/>
    </row>
    <row r="537" spans="8:9" x14ac:dyDescent="0.3">
      <c r="H537" s="1"/>
      <c r="I537" s="1"/>
    </row>
    <row r="538" spans="8:9" x14ac:dyDescent="0.3">
      <c r="H538" s="1"/>
      <c r="I538" s="1"/>
    </row>
    <row r="539" spans="8:9" x14ac:dyDescent="0.3">
      <c r="H539" s="1"/>
      <c r="I539" s="1"/>
    </row>
    <row r="540" spans="8:9" x14ac:dyDescent="0.3">
      <c r="H540" s="1"/>
      <c r="I540" s="1"/>
    </row>
    <row r="541" spans="8:9" x14ac:dyDescent="0.3">
      <c r="H541" s="1"/>
      <c r="I541" s="1"/>
    </row>
    <row r="542" spans="8:9" x14ac:dyDescent="0.3">
      <c r="H542" s="1"/>
      <c r="I542" s="1"/>
    </row>
    <row r="543" spans="8:9" x14ac:dyDescent="0.3">
      <c r="H543" s="1"/>
      <c r="I543" s="1"/>
    </row>
    <row r="544" spans="8:9" x14ac:dyDescent="0.3">
      <c r="H544" s="1"/>
      <c r="I544" s="1"/>
    </row>
    <row r="545" spans="8:9" x14ac:dyDescent="0.3">
      <c r="H545" s="1"/>
      <c r="I545" s="1"/>
    </row>
    <row r="546" spans="8:9" x14ac:dyDescent="0.3">
      <c r="H546" s="1"/>
      <c r="I546" s="1"/>
    </row>
    <row r="547" spans="8:9" x14ac:dyDescent="0.3">
      <c r="H547" s="1"/>
      <c r="I547" s="1"/>
    </row>
    <row r="548" spans="8:9" x14ac:dyDescent="0.3">
      <c r="H548" s="1"/>
      <c r="I548" s="1"/>
    </row>
    <row r="549" spans="8:9" x14ac:dyDescent="0.3">
      <c r="H549" s="1"/>
      <c r="I549" s="1"/>
    </row>
    <row r="550" spans="8:9" x14ac:dyDescent="0.3">
      <c r="H550" s="1"/>
      <c r="I550" s="1"/>
    </row>
    <row r="551" spans="8:9" x14ac:dyDescent="0.3">
      <c r="H551" s="1"/>
      <c r="I551" s="1"/>
    </row>
    <row r="552" spans="8:9" x14ac:dyDescent="0.3">
      <c r="H552" s="1"/>
      <c r="I552" s="1"/>
    </row>
    <row r="553" spans="8:9" x14ac:dyDescent="0.3">
      <c r="H553" s="1"/>
      <c r="I553" s="1"/>
    </row>
    <row r="554" spans="8:9" x14ac:dyDescent="0.3">
      <c r="H554" s="1"/>
      <c r="I554" s="1"/>
    </row>
    <row r="555" spans="8:9" x14ac:dyDescent="0.3">
      <c r="H555" s="1"/>
      <c r="I555" s="1"/>
    </row>
    <row r="556" spans="8:9" x14ac:dyDescent="0.3">
      <c r="H556" s="1"/>
      <c r="I556" s="1"/>
    </row>
    <row r="557" spans="8:9" x14ac:dyDescent="0.3">
      <c r="H557" s="1"/>
      <c r="I557" s="1"/>
    </row>
    <row r="558" spans="8:9" x14ac:dyDescent="0.3">
      <c r="H558" s="1"/>
      <c r="I558" s="1"/>
    </row>
    <row r="559" spans="8:9" x14ac:dyDescent="0.3">
      <c r="H559" s="1"/>
      <c r="I559" s="1"/>
    </row>
    <row r="560" spans="8:9" x14ac:dyDescent="0.3">
      <c r="H560" s="1"/>
      <c r="I560" s="1"/>
    </row>
    <row r="561" spans="8:9" x14ac:dyDescent="0.3">
      <c r="H561" s="1"/>
      <c r="I561" s="1"/>
    </row>
    <row r="562" spans="8:9" x14ac:dyDescent="0.3">
      <c r="H562" s="1"/>
      <c r="I562" s="1"/>
    </row>
    <row r="563" spans="8:9" x14ac:dyDescent="0.3">
      <c r="H563" s="1"/>
      <c r="I563" s="1"/>
    </row>
    <row r="564" spans="8:9" x14ac:dyDescent="0.3">
      <c r="H564" s="1"/>
      <c r="I564" s="1"/>
    </row>
    <row r="565" spans="8:9" x14ac:dyDescent="0.3">
      <c r="H565" s="1"/>
      <c r="I565" s="1"/>
    </row>
    <row r="566" spans="8:9" x14ac:dyDescent="0.3">
      <c r="H566" s="1"/>
      <c r="I566" s="1"/>
    </row>
    <row r="567" spans="8:9" x14ac:dyDescent="0.3">
      <c r="H567" s="1"/>
      <c r="I567" s="1"/>
    </row>
    <row r="568" spans="8:9" x14ac:dyDescent="0.3">
      <c r="H568" s="1"/>
      <c r="I568" s="1"/>
    </row>
    <row r="569" spans="8:9" x14ac:dyDescent="0.3">
      <c r="H569" s="1"/>
      <c r="I569" s="1"/>
    </row>
    <row r="570" spans="8:9" x14ac:dyDescent="0.3">
      <c r="H570" s="1"/>
      <c r="I570" s="1"/>
    </row>
    <row r="571" spans="8:9" x14ac:dyDescent="0.3">
      <c r="H571" s="1"/>
      <c r="I571" s="1"/>
    </row>
    <row r="572" spans="8:9" x14ac:dyDescent="0.3">
      <c r="H572" s="1"/>
      <c r="I572" s="1"/>
    </row>
    <row r="573" spans="8:9" x14ac:dyDescent="0.3">
      <c r="H573" s="1"/>
      <c r="I573" s="1"/>
    </row>
    <row r="574" spans="8:9" x14ac:dyDescent="0.3">
      <c r="H574" s="1"/>
      <c r="I574" s="1"/>
    </row>
    <row r="575" spans="8:9" x14ac:dyDescent="0.3">
      <c r="H575" s="1"/>
      <c r="I575" s="1"/>
    </row>
    <row r="576" spans="8:9" x14ac:dyDescent="0.3">
      <c r="H576" s="1"/>
      <c r="I576" s="1"/>
    </row>
    <row r="577" spans="8:9" x14ac:dyDescent="0.3">
      <c r="H577" s="1"/>
      <c r="I577" s="1"/>
    </row>
    <row r="578" spans="8:9" x14ac:dyDescent="0.3">
      <c r="H578" s="1"/>
      <c r="I578" s="1"/>
    </row>
    <row r="579" spans="8:9" x14ac:dyDescent="0.3">
      <c r="H579" s="1"/>
      <c r="I579" s="1"/>
    </row>
    <row r="580" spans="8:9" x14ac:dyDescent="0.3">
      <c r="H580" s="1"/>
      <c r="I580" s="1"/>
    </row>
    <row r="581" spans="8:9" x14ac:dyDescent="0.3">
      <c r="H581" s="1"/>
      <c r="I581" s="1"/>
    </row>
    <row r="582" spans="8:9" x14ac:dyDescent="0.3">
      <c r="H582" s="1"/>
      <c r="I582" s="1"/>
    </row>
    <row r="583" spans="8:9" x14ac:dyDescent="0.3">
      <c r="H583" s="1"/>
      <c r="I583" s="1"/>
    </row>
    <row r="584" spans="8:9" x14ac:dyDescent="0.3">
      <c r="H584" s="1"/>
      <c r="I584" s="1"/>
    </row>
    <row r="585" spans="8:9" x14ac:dyDescent="0.3">
      <c r="H585" s="1"/>
      <c r="I585" s="1"/>
    </row>
    <row r="586" spans="8:9" x14ac:dyDescent="0.3">
      <c r="H586" s="1"/>
      <c r="I586" s="1"/>
    </row>
    <row r="587" spans="8:9" x14ac:dyDescent="0.3">
      <c r="H587" s="1"/>
      <c r="I587" s="1"/>
    </row>
    <row r="588" spans="8:9" x14ac:dyDescent="0.3">
      <c r="H588" s="1"/>
      <c r="I588" s="1"/>
    </row>
    <row r="589" spans="8:9" x14ac:dyDescent="0.3">
      <c r="H589" s="1"/>
      <c r="I589" s="1"/>
    </row>
    <row r="590" spans="8:9" x14ac:dyDescent="0.3">
      <c r="H590" s="1"/>
      <c r="I590" s="1"/>
    </row>
    <row r="591" spans="8:9" x14ac:dyDescent="0.3">
      <c r="H591" s="1"/>
      <c r="I591" s="1"/>
    </row>
    <row r="592" spans="8:9" x14ac:dyDescent="0.3">
      <c r="H592" s="1"/>
      <c r="I592" s="1"/>
    </row>
    <row r="593" spans="8:9" x14ac:dyDescent="0.3">
      <c r="H593" s="1"/>
      <c r="I593" s="1"/>
    </row>
    <row r="594" spans="8:9" x14ac:dyDescent="0.3">
      <c r="H594" s="1"/>
      <c r="I594" s="1"/>
    </row>
    <row r="595" spans="8:9" x14ac:dyDescent="0.3">
      <c r="H595" s="1"/>
      <c r="I595" s="1"/>
    </row>
    <row r="596" spans="8:9" x14ac:dyDescent="0.3">
      <c r="H596" s="1"/>
      <c r="I596" s="1"/>
    </row>
    <row r="597" spans="8:9" x14ac:dyDescent="0.3">
      <c r="H597" s="1"/>
      <c r="I597" s="1"/>
    </row>
    <row r="598" spans="8:9" x14ac:dyDescent="0.3">
      <c r="H598" s="1"/>
      <c r="I598" s="1"/>
    </row>
    <row r="599" spans="8:9" x14ac:dyDescent="0.3">
      <c r="H599" s="1"/>
      <c r="I599" s="1"/>
    </row>
    <row r="600" spans="8:9" x14ac:dyDescent="0.3">
      <c r="H600" s="1"/>
      <c r="I600" s="1"/>
    </row>
    <row r="601" spans="8:9" x14ac:dyDescent="0.3">
      <c r="H601" s="1"/>
      <c r="I601" s="1"/>
    </row>
    <row r="602" spans="8:9" x14ac:dyDescent="0.3">
      <c r="H602" s="1"/>
      <c r="I602" s="1"/>
    </row>
    <row r="603" spans="8:9" x14ac:dyDescent="0.3">
      <c r="H603" s="1"/>
      <c r="I603" s="1"/>
    </row>
    <row r="604" spans="8:9" x14ac:dyDescent="0.3">
      <c r="H604" s="1"/>
      <c r="I604" s="1"/>
    </row>
    <row r="605" spans="8:9" x14ac:dyDescent="0.3">
      <c r="H605" s="1"/>
      <c r="I605" s="1"/>
    </row>
    <row r="606" spans="8:9" x14ac:dyDescent="0.3">
      <c r="H606" s="1"/>
      <c r="I606" s="1"/>
    </row>
    <row r="607" spans="8:9" x14ac:dyDescent="0.3">
      <c r="H607" s="1"/>
      <c r="I607" s="1"/>
    </row>
    <row r="608" spans="8:9" x14ac:dyDescent="0.3">
      <c r="H608" s="1"/>
      <c r="I608" s="1"/>
    </row>
    <row r="609" spans="8:9" x14ac:dyDescent="0.3">
      <c r="H609" s="1"/>
      <c r="I609" s="1"/>
    </row>
    <row r="610" spans="8:9" x14ac:dyDescent="0.3">
      <c r="H610" s="1"/>
    </row>
    <row r="611" spans="8:9" x14ac:dyDescent="0.3">
      <c r="H611" s="1"/>
    </row>
    <row r="612" spans="8:9" x14ac:dyDescent="0.3">
      <c r="H612" s="1"/>
    </row>
    <row r="613" spans="8:9" x14ac:dyDescent="0.3">
      <c r="H613" s="1"/>
    </row>
  </sheetData>
  <sheetProtection algorithmName="SHA-512" hashValue="2FJkJNBvtaUkXjsm0G9d3EgFMwu5J4fxN7T5tx4FO9C/BSISp/7Q85AVkDJ39bdm9Zdy5sRD1VFzNuubDAhSBA==" saltValue="xCQg+OY6+KniRmKBigkP0w==" spinCount="100000" sheet="1" selectLockedCells="1"/>
  <mergeCells count="7">
    <mergeCell ref="S7:U7"/>
    <mergeCell ref="O6:Q6"/>
    <mergeCell ref="H2:I2"/>
    <mergeCell ref="O4:P4"/>
    <mergeCell ref="F4:G5"/>
    <mergeCell ref="H4:I5"/>
    <mergeCell ref="O5:P5"/>
  </mergeCells>
  <conditionalFormatting sqref="H2">
    <cfRule type="containsText" dxfId="3" priority="4" operator="containsText" text="completed">
      <formula>NOT(ISERROR(SEARCH("completed",H2)))</formula>
    </cfRule>
  </conditionalFormatting>
  <conditionalFormatting sqref="O4:Q6">
    <cfRule type="expression" dxfId="2" priority="3">
      <formula>$Q$4&lt;&gt;""</formula>
    </cfRule>
  </conditionalFormatting>
  <conditionalFormatting sqref="O6">
    <cfRule type="containsText" dxfId="1" priority="2" operator="containsText" text="won">
      <formula>NOT(ISERROR(SEARCH("won",O6)))</formula>
    </cfRule>
  </conditionalFormatting>
  <conditionalFormatting sqref="S7 V7:X7">
    <cfRule type="containsText" dxfId="0" priority="1" operator="containsText" text="won">
      <formula>NOT(ISERROR(SEARCH("won",S7)))</formula>
    </cfRule>
  </conditionalFormatting>
  <dataValidations count="7">
    <dataValidation type="whole" allowBlank="1" showInputMessage="1" showErrorMessage="1" errorTitle="Press Bat" error="You are only allowed to press the bat button situated on right side." sqref="H68:H69" xr:uid="{1474DD92-7D9B-4BAB-B411-2140E3458BE2}">
      <formula1>1</formula1>
      <formula2>10</formula2>
    </dataValidation>
    <dataValidation type="whole" allowBlank="1" showInputMessage="1" showErrorMessage="1" errorTitle="Press Bowl." error="You are only allowed to press the bowl button situated on left side." sqref="I68:I69" xr:uid="{9FC8D306-976B-463B-AA2A-2F7FA936F1F5}">
      <formula1>1</formula1>
      <formula2>10</formula2>
    </dataValidation>
    <dataValidation type="whole" allowBlank="1" showInputMessage="1" showErrorMessage="1" errorTitle="Press the ball." error="You are only allowed to press the image of ball situated on your right side." sqref="H8:H67" xr:uid="{96FFF039-B4E9-470D-A31A-018AA578F5E0}">
      <formula1>1</formula1>
      <formula2>10</formula2>
    </dataValidation>
    <dataValidation type="whole" allowBlank="1" showInputMessage="1" showErrorMessage="1" errorTitle="Press the bat." error="You are only allowed to press the image of bat situated on your right side." sqref="I8:I67" xr:uid="{C4726F0A-C68F-40BA-B54D-1EC4D67843BD}">
      <formula1>1</formula1>
      <formula2>10</formula2>
    </dataValidation>
    <dataValidation type="list" allowBlank="1" showInputMessage="1" showErrorMessage="1" sqref="U4" xr:uid="{26AF5904-25EB-46D3-BC12-111D727BF8C8}">
      <formula1>"Heads,Tails"</formula1>
    </dataValidation>
    <dataValidation allowBlank="1" showInputMessage="1" showErrorMessage="1" sqref="S14:T15" xr:uid="{F4A56E93-8037-49C2-BE2A-7D50033D6B02}"/>
    <dataValidation type="list" allowBlank="1" showInputMessage="1" showErrorMessage="1" sqref="Z7" xr:uid="{F7329516-31FD-4F08-B1A8-1DBB3BDB6CB0}">
      <formula1>"Bat,Field"</formula1>
    </dataValidation>
  </dataValidations>
  <pageMargins left="0.7" right="0.7" top="0.75" bottom="0.75" header="0.3" footer="0.3"/>
  <pageSetup paperSize="9" orientation="portrait" r:id="rId1"/>
  <cellWatches>
    <cellWatch r="X4"/>
  </cellWatches>
  <ignoredErrors>
    <ignoredError sqref="Q5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08A42-9B79-48C2-AFB4-D2B2D7B803ED}">
  <sheetPr codeName="Sheet2"/>
  <dimension ref="B2:B29"/>
  <sheetViews>
    <sheetView workbookViewId="0">
      <selection activeCell="B30" sqref="B30"/>
    </sheetView>
  </sheetViews>
  <sheetFormatPr defaultRowHeight="14.4" x14ac:dyDescent="0.3"/>
  <sheetData>
    <row r="2" spans="2:2" x14ac:dyDescent="0.3">
      <c r="B2" s="3" t="s">
        <v>5</v>
      </c>
    </row>
    <row r="3" spans="2:2" x14ac:dyDescent="0.3">
      <c r="B3" t="s">
        <v>8</v>
      </c>
    </row>
    <row r="4" spans="2:2" x14ac:dyDescent="0.3">
      <c r="B4" t="s">
        <v>7</v>
      </c>
    </row>
    <row r="5" spans="2:2" x14ac:dyDescent="0.3">
      <c r="B5" t="s">
        <v>6</v>
      </c>
    </row>
    <row r="6" spans="2:2" x14ac:dyDescent="0.3">
      <c r="B6" t="s">
        <v>9</v>
      </c>
    </row>
    <row r="7" spans="2:2" x14ac:dyDescent="0.3">
      <c r="B7" t="s">
        <v>10</v>
      </c>
    </row>
    <row r="8" spans="2:2" x14ac:dyDescent="0.3">
      <c r="B8" t="s">
        <v>8</v>
      </c>
    </row>
    <row r="9" spans="2:2" x14ac:dyDescent="0.3">
      <c r="B9" t="s">
        <v>7</v>
      </c>
    </row>
    <row r="10" spans="2:2" x14ac:dyDescent="0.3">
      <c r="B10" t="s">
        <v>6</v>
      </c>
    </row>
    <row r="11" spans="2:2" x14ac:dyDescent="0.3">
      <c r="B11" t="s">
        <v>9</v>
      </c>
    </row>
    <row r="13" spans="2:2" x14ac:dyDescent="0.3">
      <c r="B13" s="3" t="s">
        <v>11</v>
      </c>
    </row>
    <row r="14" spans="2:2" x14ac:dyDescent="0.3">
      <c r="B14" t="s">
        <v>12</v>
      </c>
    </row>
    <row r="15" spans="2:2" x14ac:dyDescent="0.3">
      <c r="B15" t="s">
        <v>13</v>
      </c>
    </row>
    <row r="16" spans="2:2" x14ac:dyDescent="0.3">
      <c r="B16" t="s">
        <v>14</v>
      </c>
    </row>
    <row r="17" spans="2:2" x14ac:dyDescent="0.3">
      <c r="B17" t="s">
        <v>15</v>
      </c>
    </row>
    <row r="18" spans="2:2" x14ac:dyDescent="0.3">
      <c r="B18" t="s">
        <v>16</v>
      </c>
    </row>
    <row r="19" spans="2:2" x14ac:dyDescent="0.3">
      <c r="B19" t="s">
        <v>12</v>
      </c>
    </row>
    <row r="20" spans="2:2" x14ac:dyDescent="0.3">
      <c r="B20" t="s">
        <v>13</v>
      </c>
    </row>
    <row r="21" spans="2:2" x14ac:dyDescent="0.3">
      <c r="B21" t="s">
        <v>14</v>
      </c>
    </row>
    <row r="22" spans="2:2" x14ac:dyDescent="0.3">
      <c r="B22" t="s">
        <v>15</v>
      </c>
    </row>
    <row r="23" spans="2:2" x14ac:dyDescent="0.3">
      <c r="B23" t="s">
        <v>16</v>
      </c>
    </row>
    <row r="25" spans="2:2" x14ac:dyDescent="0.3">
      <c r="B25" s="4">
        <v>0</v>
      </c>
    </row>
    <row r="26" spans="2:2" x14ac:dyDescent="0.3">
      <c r="B26" t="s">
        <v>17</v>
      </c>
    </row>
    <row r="27" spans="2:2" x14ac:dyDescent="0.3">
      <c r="B27" t="s">
        <v>18</v>
      </c>
    </row>
    <row r="28" spans="2:2" x14ac:dyDescent="0.3">
      <c r="B28" t="s">
        <v>19</v>
      </c>
    </row>
    <row r="29" spans="2:2" x14ac:dyDescent="0.3">
      <c r="B29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Staduim</vt:lpstr>
      <vt:lpstr>Staduim!Diff</vt:lpstr>
      <vt:lpstr>Negetive</vt:lpstr>
      <vt:lpstr>Out</vt:lpstr>
      <vt:lpstr>Positive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Ramakrishna RV</dc:creator>
  <cp:lastModifiedBy>Ramakrishna RV</cp:lastModifiedBy>
  <dcterms:created xsi:type="dcterms:W3CDTF">2020-08-06T14:59:21Z</dcterms:created>
  <dcterms:modified xsi:type="dcterms:W3CDTF">2023-07-11T10:32:09Z</dcterms:modified>
</cp:coreProperties>
</file>